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workbookProtection lockStructure="1"/>
  <bookViews>
    <workbookView xWindow="0" yWindow="60" windowWidth="19440" windowHeight="8310" activeTab="1"/>
  </bookViews>
  <sheets>
    <sheet name="项目" sheetId="1" r:id="rId1"/>
    <sheet name="周期表" sheetId="2" r:id="rId2"/>
    <sheet name="预算" sheetId="3" r:id="rId3"/>
    <sheet name="风险登记" sheetId="4" r:id="rId4"/>
    <sheet name="问题日志" sheetId="5" r:id="rId5"/>
    <sheet name="©" sheetId="6" state="veryHidden" r:id="rId6"/>
  </sheets>
  <externalReferences>
    <externalReference r:id="rId7"/>
  </externalReferences>
  <definedNames>
    <definedName name="helpRow">周期表!#REF!</definedName>
    <definedName name="_xlnm.Print_Area" localSheetId="1">周期表!$A$3:$IO$125</definedName>
    <definedName name="valuevx">42.314159</definedName>
  </definedNames>
  <calcPr calcId="124519"/>
</workbook>
</file>

<file path=xl/calcChain.xml><?xml version="1.0" encoding="utf-8"?>
<calcChain xmlns="http://schemas.openxmlformats.org/spreadsheetml/2006/main">
  <c r="H256" i="2"/>
  <c r="I260"/>
  <c r="J260" s="1"/>
  <c r="H260"/>
  <c r="E245" l="1"/>
  <c r="H245" s="1"/>
  <c r="E236"/>
  <c r="H236" s="1"/>
  <c r="E228"/>
  <c r="H228" s="1"/>
  <c r="E220"/>
  <c r="E215"/>
  <c r="H215" s="1"/>
  <c r="E214"/>
  <c r="H214" s="1"/>
  <c r="E204"/>
  <c r="H204" s="1"/>
  <c r="E134"/>
  <c r="E128"/>
  <c r="H128" s="1"/>
  <c r="E120"/>
  <c r="H120" s="1"/>
  <c r="E111"/>
  <c r="H111" s="1"/>
  <c r="E103"/>
  <c r="H96"/>
  <c r="H97"/>
  <c r="H102"/>
  <c r="H104"/>
  <c r="H105"/>
  <c r="H109"/>
  <c r="E95"/>
  <c r="H95" s="1"/>
  <c r="E94"/>
  <c r="H94" s="1"/>
  <c r="E93"/>
  <c r="H93" s="1"/>
  <c r="E92"/>
  <c r="H92" s="1"/>
  <c r="E91"/>
  <c r="H91" s="1"/>
  <c r="E90"/>
  <c r="H90" s="1"/>
  <c r="I90"/>
  <c r="J90" s="1"/>
  <c r="I91"/>
  <c r="J91" s="1"/>
  <c r="I92"/>
  <c r="J92" s="1"/>
  <c r="I93"/>
  <c r="J93" s="1"/>
  <c r="I94"/>
  <c r="J94" s="1"/>
  <c r="I95"/>
  <c r="J95" s="1"/>
  <c r="I96"/>
  <c r="J96" s="1"/>
  <c r="I97"/>
  <c r="J97" s="1"/>
  <c r="H98"/>
  <c r="I98"/>
  <c r="J98" s="1"/>
  <c r="H99"/>
  <c r="I99"/>
  <c r="J99" s="1"/>
  <c r="H100"/>
  <c r="I100"/>
  <c r="J100" s="1"/>
  <c r="H101"/>
  <c r="I101"/>
  <c r="J101" s="1"/>
  <c r="I102"/>
  <c r="J102" s="1"/>
  <c r="H103"/>
  <c r="I103"/>
  <c r="J103" s="1"/>
  <c r="I104"/>
  <c r="J104" s="1"/>
  <c r="I105"/>
  <c r="J105" s="1"/>
  <c r="H106"/>
  <c r="I106"/>
  <c r="J106" s="1"/>
  <c r="H107"/>
  <c r="I107"/>
  <c r="J107" s="1"/>
  <c r="H108"/>
  <c r="I108"/>
  <c r="J108" s="1"/>
  <c r="I109"/>
  <c r="J109" s="1"/>
  <c r="H110"/>
  <c r="I110"/>
  <c r="J110" s="1"/>
  <c r="I111"/>
  <c r="J111" s="1"/>
  <c r="H112"/>
  <c r="I112"/>
  <c r="J112" s="1"/>
  <c r="H113"/>
  <c r="I113"/>
  <c r="J113" s="1"/>
  <c r="H114"/>
  <c r="I114"/>
  <c r="J114" s="1"/>
  <c r="H115"/>
  <c r="I115"/>
  <c r="J115" s="1"/>
  <c r="H116"/>
  <c r="I116"/>
  <c r="J116" s="1"/>
  <c r="H117"/>
  <c r="I117"/>
  <c r="J117" s="1"/>
  <c r="H118"/>
  <c r="I118"/>
  <c r="J118" s="1"/>
  <c r="H119"/>
  <c r="I119"/>
  <c r="J119" s="1"/>
  <c r="I120"/>
  <c r="J120" s="1"/>
  <c r="H121"/>
  <c r="I121"/>
  <c r="J121" s="1"/>
  <c r="H122"/>
  <c r="I122"/>
  <c r="J122" s="1"/>
  <c r="H123"/>
  <c r="I123"/>
  <c r="J123" s="1"/>
  <c r="H124"/>
  <c r="I124"/>
  <c r="J124" s="1"/>
  <c r="H125"/>
  <c r="I125"/>
  <c r="J125" s="1"/>
  <c r="H126"/>
  <c r="I126"/>
  <c r="J126" s="1"/>
  <c r="I127"/>
  <c r="J127" s="1"/>
  <c r="I128"/>
  <c r="J128" s="1"/>
  <c r="H129"/>
  <c r="I129"/>
  <c r="J129" s="1"/>
  <c r="H130"/>
  <c r="I130"/>
  <c r="J130" s="1"/>
  <c r="H131"/>
  <c r="I131"/>
  <c r="J131" s="1"/>
  <c r="H132"/>
  <c r="I132"/>
  <c r="J132" s="1"/>
  <c r="H133"/>
  <c r="I133"/>
  <c r="J133" s="1"/>
  <c r="H134"/>
  <c r="I134"/>
  <c r="J134" s="1"/>
  <c r="H135"/>
  <c r="I135"/>
  <c r="J135" s="1"/>
  <c r="H136"/>
  <c r="I136"/>
  <c r="J136" s="1"/>
  <c r="H137"/>
  <c r="I137"/>
  <c r="J137" s="1"/>
  <c r="H138"/>
  <c r="I138"/>
  <c r="J138" s="1"/>
  <c r="H139"/>
  <c r="I139"/>
  <c r="J139" s="1"/>
  <c r="H140"/>
  <c r="I140"/>
  <c r="J140" s="1"/>
  <c r="H141"/>
  <c r="I141"/>
  <c r="J141" s="1"/>
  <c r="H142"/>
  <c r="I142"/>
  <c r="J142" s="1"/>
  <c r="H143"/>
  <c r="I143"/>
  <c r="J143" s="1"/>
  <c r="H144"/>
  <c r="I144"/>
  <c r="J144" s="1"/>
  <c r="H145"/>
  <c r="I145"/>
  <c r="J145" s="1"/>
  <c r="H146"/>
  <c r="I146"/>
  <c r="J146" s="1"/>
  <c r="H147"/>
  <c r="I147"/>
  <c r="J147" s="1"/>
  <c r="H148"/>
  <c r="I148"/>
  <c r="J148" s="1"/>
  <c r="H149"/>
  <c r="I149"/>
  <c r="J149" s="1"/>
  <c r="H150"/>
  <c r="I150"/>
  <c r="J150" s="1"/>
  <c r="H151"/>
  <c r="I151"/>
  <c r="J151" s="1"/>
  <c r="H152"/>
  <c r="I152"/>
  <c r="J152" s="1"/>
  <c r="H153"/>
  <c r="I153"/>
  <c r="J153" s="1"/>
  <c r="H154"/>
  <c r="I154"/>
  <c r="J154" s="1"/>
  <c r="H155"/>
  <c r="I155"/>
  <c r="J155" s="1"/>
  <c r="H156"/>
  <c r="I156"/>
  <c r="J156" s="1"/>
  <c r="H157"/>
  <c r="I157"/>
  <c r="J157" s="1"/>
  <c r="H158"/>
  <c r="I158"/>
  <c r="J158" s="1"/>
  <c r="H159"/>
  <c r="I159"/>
  <c r="J159" s="1"/>
  <c r="H160"/>
  <c r="I160"/>
  <c r="J160" s="1"/>
  <c r="H161"/>
  <c r="I161"/>
  <c r="J161" s="1"/>
  <c r="H162"/>
  <c r="I162"/>
  <c r="J162" s="1"/>
  <c r="H163"/>
  <c r="I163"/>
  <c r="J163" s="1"/>
  <c r="H164"/>
  <c r="I164"/>
  <c r="J164" s="1"/>
  <c r="H165"/>
  <c r="I165"/>
  <c r="J165" s="1"/>
  <c r="H166"/>
  <c r="I166"/>
  <c r="J166" s="1"/>
  <c r="H167"/>
  <c r="I167"/>
  <c r="J167" s="1"/>
  <c r="H168"/>
  <c r="I168"/>
  <c r="J168" s="1"/>
  <c r="H169"/>
  <c r="I169"/>
  <c r="J169" s="1"/>
  <c r="H170"/>
  <c r="I170"/>
  <c r="J170" s="1"/>
  <c r="H171"/>
  <c r="I171"/>
  <c r="J171" s="1"/>
  <c r="H172"/>
  <c r="I172"/>
  <c r="J172" s="1"/>
  <c r="H173"/>
  <c r="I173"/>
  <c r="J173" s="1"/>
  <c r="H174"/>
  <c r="I174"/>
  <c r="J174" s="1"/>
  <c r="H175"/>
  <c r="I175"/>
  <c r="J175" s="1"/>
  <c r="H176"/>
  <c r="I176"/>
  <c r="J176" s="1"/>
  <c r="H177"/>
  <c r="I177"/>
  <c r="J177" s="1"/>
  <c r="H178"/>
  <c r="I178"/>
  <c r="J178" s="1"/>
  <c r="H179"/>
  <c r="I179"/>
  <c r="J179" s="1"/>
  <c r="H180"/>
  <c r="I180"/>
  <c r="J180" s="1"/>
  <c r="H181"/>
  <c r="I181"/>
  <c r="J181" s="1"/>
  <c r="H182"/>
  <c r="I182"/>
  <c r="J182" s="1"/>
  <c r="H183"/>
  <c r="I183"/>
  <c r="J183" s="1"/>
  <c r="H184"/>
  <c r="I184"/>
  <c r="J184" s="1"/>
  <c r="H185"/>
  <c r="I185"/>
  <c r="J185" s="1"/>
  <c r="H186"/>
  <c r="I186"/>
  <c r="J186" s="1"/>
  <c r="H187"/>
  <c r="I187"/>
  <c r="J187" s="1"/>
  <c r="H188"/>
  <c r="I188"/>
  <c r="J188" s="1"/>
  <c r="H189"/>
  <c r="I189"/>
  <c r="J189" s="1"/>
  <c r="H190"/>
  <c r="I190"/>
  <c r="J190" s="1"/>
  <c r="H191"/>
  <c r="I191"/>
  <c r="J191" s="1"/>
  <c r="H192"/>
  <c r="I192"/>
  <c r="J192" s="1"/>
  <c r="H193"/>
  <c r="I193"/>
  <c r="J193" s="1"/>
  <c r="H194"/>
  <c r="I194"/>
  <c r="J194" s="1"/>
  <c r="H195"/>
  <c r="I195"/>
  <c r="J195" s="1"/>
  <c r="H196"/>
  <c r="I196"/>
  <c r="J196" s="1"/>
  <c r="H197"/>
  <c r="I197"/>
  <c r="J197" s="1"/>
  <c r="H198"/>
  <c r="I198"/>
  <c r="J198" s="1"/>
  <c r="H199"/>
  <c r="I199"/>
  <c r="J199" s="1"/>
  <c r="H200"/>
  <c r="I200"/>
  <c r="J200" s="1"/>
  <c r="H201"/>
  <c r="I201"/>
  <c r="J201" s="1"/>
  <c r="H202"/>
  <c r="I202"/>
  <c r="J202" s="1"/>
  <c r="H203"/>
  <c r="I203"/>
  <c r="J203" s="1"/>
  <c r="I204"/>
  <c r="J204" s="1"/>
  <c r="H205"/>
  <c r="I205"/>
  <c r="J205" s="1"/>
  <c r="H206"/>
  <c r="I206"/>
  <c r="J206" s="1"/>
  <c r="H207"/>
  <c r="I207"/>
  <c r="J207" s="1"/>
  <c r="H208"/>
  <c r="I208"/>
  <c r="J208" s="1"/>
  <c r="H209"/>
  <c r="I209"/>
  <c r="J209" s="1"/>
  <c r="H210"/>
  <c r="I210"/>
  <c r="J210" s="1"/>
  <c r="H211"/>
  <c r="I211"/>
  <c r="J211" s="1"/>
  <c r="H212"/>
  <c r="I212"/>
  <c r="J212" s="1"/>
  <c r="H213"/>
  <c r="I213"/>
  <c r="J213" s="1"/>
  <c r="I214"/>
  <c r="J214" s="1"/>
  <c r="I215"/>
  <c r="J215" s="1"/>
  <c r="H216"/>
  <c r="I216"/>
  <c r="J216" s="1"/>
  <c r="H217"/>
  <c r="I217"/>
  <c r="J217" s="1"/>
  <c r="H218"/>
  <c r="I218"/>
  <c r="J218" s="1"/>
  <c r="H219"/>
  <c r="I219"/>
  <c r="J219" s="1"/>
  <c r="H220"/>
  <c r="I220"/>
  <c r="J220" s="1"/>
  <c r="H221"/>
  <c r="I221"/>
  <c r="J221" s="1"/>
  <c r="H222"/>
  <c r="I222"/>
  <c r="J222" s="1"/>
  <c r="H223"/>
  <c r="I223"/>
  <c r="J223" s="1"/>
  <c r="H224"/>
  <c r="I224"/>
  <c r="J224" s="1"/>
  <c r="H225"/>
  <c r="I225"/>
  <c r="J225" s="1"/>
  <c r="H226"/>
  <c r="I226"/>
  <c r="J226" s="1"/>
  <c r="H227"/>
  <c r="I227"/>
  <c r="J227" s="1"/>
  <c r="I228"/>
  <c r="J228" s="1"/>
  <c r="H229"/>
  <c r="I229"/>
  <c r="J229" s="1"/>
  <c r="H230"/>
  <c r="I230"/>
  <c r="J230" s="1"/>
  <c r="H231"/>
  <c r="I231"/>
  <c r="J231" s="1"/>
  <c r="H232"/>
  <c r="I232"/>
  <c r="J232" s="1"/>
  <c r="H233"/>
  <c r="I233"/>
  <c r="J233" s="1"/>
  <c r="H234"/>
  <c r="I234"/>
  <c r="J234" s="1"/>
  <c r="H235"/>
  <c r="I235"/>
  <c r="J235" s="1"/>
  <c r="I236"/>
  <c r="J236" s="1"/>
  <c r="H237"/>
  <c r="I237"/>
  <c r="J237" s="1"/>
  <c r="H238"/>
  <c r="I238"/>
  <c r="J238" s="1"/>
  <c r="H239"/>
  <c r="I239"/>
  <c r="J239" s="1"/>
  <c r="H240"/>
  <c r="I240"/>
  <c r="J240" s="1"/>
  <c r="H241"/>
  <c r="I241"/>
  <c r="J241" s="1"/>
  <c r="H242"/>
  <c r="I242"/>
  <c r="J242" s="1"/>
  <c r="H243"/>
  <c r="I243"/>
  <c r="J243" s="1"/>
  <c r="H244"/>
  <c r="I244"/>
  <c r="J244" s="1"/>
  <c r="I245"/>
  <c r="J245" s="1"/>
  <c r="H246"/>
  <c r="I246"/>
  <c r="J246" s="1"/>
  <c r="H247"/>
  <c r="I247"/>
  <c r="J247" s="1"/>
  <c r="H248"/>
  <c r="I248"/>
  <c r="J248" s="1"/>
  <c r="H249"/>
  <c r="I249"/>
  <c r="J249" s="1"/>
  <c r="H250"/>
  <c r="I250"/>
  <c r="J250" s="1"/>
  <c r="H251"/>
  <c r="I251"/>
  <c r="J251" s="1"/>
  <c r="H252"/>
  <c r="I252"/>
  <c r="J252" s="1"/>
  <c r="H253"/>
  <c r="I253"/>
  <c r="J253" s="1"/>
  <c r="H254"/>
  <c r="I254"/>
  <c r="J254" s="1"/>
  <c r="H255"/>
  <c r="I255"/>
  <c r="J255" s="1"/>
  <c r="H257"/>
  <c r="I257"/>
  <c r="J257" s="1"/>
  <c r="H262"/>
  <c r="I262"/>
  <c r="J262" s="1"/>
  <c r="H263"/>
  <c r="I263"/>
  <c r="J263" s="1"/>
  <c r="H258"/>
  <c r="I258"/>
  <c r="J258" s="1"/>
  <c r="H264"/>
  <c r="I264"/>
  <c r="J264" s="1"/>
  <c r="H265"/>
  <c r="I265"/>
  <c r="J265" s="1"/>
  <c r="H266"/>
  <c r="I266"/>
  <c r="J266" s="1"/>
  <c r="G269"/>
  <c r="H269"/>
  <c r="I269" s="1"/>
  <c r="G270"/>
  <c r="H270"/>
  <c r="I270" s="1"/>
  <c r="H271"/>
  <c r="I271"/>
  <c r="J271" s="1"/>
  <c r="H274"/>
  <c r="I274"/>
  <c r="J274" s="1"/>
  <c r="H277"/>
  <c r="I277"/>
  <c r="J277" s="1"/>
  <c r="H278"/>
  <c r="I278"/>
  <c r="J278" s="1"/>
  <c r="H279"/>
  <c r="I279"/>
  <c r="J279" s="1"/>
  <c r="H281"/>
  <c r="I281"/>
  <c r="J281" s="1"/>
  <c r="H282"/>
  <c r="I282"/>
  <c r="J282" s="1"/>
  <c r="H283"/>
  <c r="I283"/>
  <c r="J283" s="1"/>
  <c r="H284"/>
  <c r="I284"/>
  <c r="J284" s="1"/>
  <c r="H285"/>
  <c r="I285"/>
  <c r="J285" s="1"/>
  <c r="H286"/>
  <c r="I286"/>
  <c r="J286" s="1"/>
  <c r="H287"/>
  <c r="I287"/>
  <c r="J287" s="1"/>
  <c r="H289"/>
  <c r="I289"/>
  <c r="J289" s="1"/>
  <c r="H290"/>
  <c r="I290"/>
  <c r="J290" s="1"/>
  <c r="H292"/>
  <c r="I292"/>
  <c r="J292" s="1"/>
  <c r="H293"/>
  <c r="I293"/>
  <c r="J293" s="1"/>
  <c r="G294"/>
  <c r="H294"/>
  <c r="I294" s="1"/>
  <c r="G295"/>
  <c r="H295"/>
  <c r="I295" s="1"/>
  <c r="G296"/>
  <c r="H296"/>
  <c r="I296" s="1"/>
  <c r="G297"/>
  <c r="H297"/>
  <c r="I297" s="1"/>
  <c r="E127"/>
  <c r="H127" s="1"/>
  <c r="I89"/>
  <c r="J89" s="1"/>
  <c r="E89"/>
  <c r="H89" s="1"/>
  <c r="E88"/>
  <c r="H88" s="1"/>
  <c r="I88"/>
  <c r="J88" s="1"/>
  <c r="G81"/>
  <c r="I76"/>
  <c r="J76" s="1"/>
  <c r="G72"/>
  <c r="G64"/>
  <c r="G56"/>
  <c r="I37"/>
  <c r="J37" s="1"/>
  <c r="H50"/>
  <c r="G43"/>
  <c r="G34"/>
  <c r="G26"/>
  <c r="I17"/>
  <c r="J17" s="1"/>
  <c r="G18"/>
  <c r="G51"/>
  <c r="G13"/>
  <c r="G50" l="1"/>
  <c r="I50" s="1"/>
  <c r="J50" s="1"/>
  <c r="G12"/>
  <c r="E87"/>
  <c r="E86"/>
  <c r="E85"/>
  <c r="E84"/>
  <c r="E83"/>
  <c r="E82"/>
  <c r="E81"/>
  <c r="E80"/>
  <c r="E79"/>
  <c r="E78"/>
  <c r="E77"/>
  <c r="E76"/>
  <c r="H76" s="1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37"/>
  <c r="H37" s="1"/>
  <c r="E17"/>
  <c r="H17" s="1"/>
  <c r="G11" l="1"/>
  <c r="I87"/>
  <c r="J87" s="1"/>
  <c r="H87"/>
  <c r="I86"/>
  <c r="J86" s="1"/>
  <c r="H86"/>
  <c r="I85"/>
  <c r="J85" s="1"/>
  <c r="H85"/>
  <c r="I84"/>
  <c r="J84" s="1"/>
  <c r="H84"/>
  <c r="I83"/>
  <c r="J83" s="1"/>
  <c r="H83"/>
  <c r="I82"/>
  <c r="J82" s="1"/>
  <c r="H82"/>
  <c r="I75"/>
  <c r="J75" s="1"/>
  <c r="H75"/>
  <c r="I74"/>
  <c r="J74" s="1"/>
  <c r="H74"/>
  <c r="I61"/>
  <c r="J61" s="1"/>
  <c r="I60"/>
  <c r="J60" s="1"/>
  <c r="I59"/>
  <c r="J59" s="1"/>
  <c r="I58"/>
  <c r="J58" s="1"/>
  <c r="I57"/>
  <c r="J57" s="1"/>
  <c r="I56"/>
  <c r="J56" s="1"/>
  <c r="I55"/>
  <c r="J55" s="1"/>
  <c r="I49"/>
  <c r="J49" s="1"/>
  <c r="I48"/>
  <c r="J48" s="1"/>
  <c r="I47"/>
  <c r="J47" s="1"/>
  <c r="E47"/>
  <c r="I46"/>
  <c r="J46" s="1"/>
  <c r="E46"/>
  <c r="H46" s="1"/>
  <c r="I45"/>
  <c r="J45" s="1"/>
  <c r="E45"/>
  <c r="H45" s="1"/>
  <c r="I44"/>
  <c r="J44" s="1"/>
  <c r="E44"/>
  <c r="H44" s="1"/>
  <c r="I43"/>
  <c r="J43" s="1"/>
  <c r="I42"/>
  <c r="J42" s="1"/>
  <c r="I41"/>
  <c r="J41" s="1"/>
  <c r="I40"/>
  <c r="J40" s="1"/>
  <c r="I39"/>
  <c r="J39" s="1"/>
  <c r="I38"/>
  <c r="J38" s="1"/>
  <c r="I36"/>
  <c r="J36" s="1"/>
  <c r="I35"/>
  <c r="J35" s="1"/>
  <c r="E35"/>
  <c r="H35" s="1"/>
  <c r="H47" l="1"/>
  <c r="E36"/>
  <c r="I33"/>
  <c r="J33" s="1"/>
  <c r="I32"/>
  <c r="J32" s="1"/>
  <c r="I31"/>
  <c r="J31" s="1"/>
  <c r="E31"/>
  <c r="I29"/>
  <c r="J29" s="1"/>
  <c r="I28"/>
  <c r="J28" s="1"/>
  <c r="I27"/>
  <c r="J27" s="1"/>
  <c r="I26"/>
  <c r="J26" s="1"/>
  <c r="I25"/>
  <c r="J25" s="1"/>
  <c r="E25"/>
  <c r="H25" l="1"/>
  <c r="H31"/>
  <c r="E32"/>
  <c r="E33" s="1"/>
  <c r="H33" s="1"/>
  <c r="H36"/>
  <c r="E38"/>
  <c r="H26" l="1"/>
  <c r="H32"/>
  <c r="E48"/>
  <c r="H38"/>
  <c r="H77"/>
  <c r="I81"/>
  <c r="J81" s="1"/>
  <c r="H81"/>
  <c r="I80"/>
  <c r="J80" s="1"/>
  <c r="H80"/>
  <c r="I79"/>
  <c r="J79" s="1"/>
  <c r="H79"/>
  <c r="I78"/>
  <c r="J78" s="1"/>
  <c r="H78"/>
  <c r="I73"/>
  <c r="J73" s="1"/>
  <c r="H73"/>
  <c r="I72"/>
  <c r="J72" s="1"/>
  <c r="H72"/>
  <c r="I70"/>
  <c r="J70" s="1"/>
  <c r="H70"/>
  <c r="I69"/>
  <c r="J69" s="1"/>
  <c r="H69"/>
  <c r="I68"/>
  <c r="J68" s="1"/>
  <c r="H68"/>
  <c r="I67"/>
  <c r="J67" s="1"/>
  <c r="H67"/>
  <c r="I66"/>
  <c r="J66" s="1"/>
  <c r="H66"/>
  <c r="I65"/>
  <c r="J65" s="1"/>
  <c r="H65"/>
  <c r="I64"/>
  <c r="J64" s="1"/>
  <c r="H64"/>
  <c r="I63"/>
  <c r="J63" s="1"/>
  <c r="H63"/>
  <c r="I54"/>
  <c r="J54" s="1"/>
  <c r="I53"/>
  <c r="J53" s="1"/>
  <c r="I77"/>
  <c r="J77" s="1"/>
  <c r="H53" l="1"/>
  <c r="E27"/>
  <c r="E28" s="1"/>
  <c r="E29" s="1"/>
  <c r="H29" s="1"/>
  <c r="H48"/>
  <c r="E39"/>
  <c r="H27" l="1"/>
  <c r="H54"/>
  <c r="H28"/>
  <c r="E49"/>
  <c r="E40"/>
  <c r="H39"/>
  <c r="F4" i="5"/>
  <c r="C4"/>
  <c r="F3"/>
  <c r="C3"/>
  <c r="F2"/>
  <c r="C2"/>
  <c r="F21" i="4"/>
  <c r="F20"/>
  <c r="F19"/>
  <c r="F18"/>
  <c r="F17"/>
  <c r="F16"/>
  <c r="F15"/>
  <c r="F14"/>
  <c r="F13"/>
  <c r="F12"/>
  <c r="F11"/>
  <c r="F10"/>
  <c r="F9"/>
  <c r="F8"/>
  <c r="F7"/>
  <c r="K4"/>
  <c r="D4"/>
  <c r="K3"/>
  <c r="D3"/>
  <c r="K2"/>
  <c r="D2"/>
  <c r="I71" i="2"/>
  <c r="J71" s="1"/>
  <c r="H71"/>
  <c r="I62"/>
  <c r="J62" s="1"/>
  <c r="H62"/>
  <c r="I52"/>
  <c r="J52" s="1"/>
  <c r="H52"/>
  <c r="I51"/>
  <c r="J51" s="1"/>
  <c r="I34"/>
  <c r="J34" s="1"/>
  <c r="E34"/>
  <c r="H34" s="1"/>
  <c r="I30"/>
  <c r="J30" s="1"/>
  <c r="E30"/>
  <c r="H30" s="1"/>
  <c r="I24"/>
  <c r="J24" s="1"/>
  <c r="E24"/>
  <c r="H24" s="1"/>
  <c r="I23"/>
  <c r="J23" s="1"/>
  <c r="I22"/>
  <c r="J22" s="1"/>
  <c r="I21"/>
  <c r="J21" s="1"/>
  <c r="I20"/>
  <c r="J20" s="1"/>
  <c r="I19"/>
  <c r="J19" s="1"/>
  <c r="E19"/>
  <c r="H18"/>
  <c r="I16"/>
  <c r="J16" s="1"/>
  <c r="I15"/>
  <c r="J15" s="1"/>
  <c r="I14"/>
  <c r="J14" s="1"/>
  <c r="I13"/>
  <c r="J13" s="1"/>
  <c r="E13"/>
  <c r="E12"/>
  <c r="H12" s="1"/>
  <c r="A1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L9"/>
  <c r="M9" s="1"/>
  <c r="N9" s="1"/>
  <c r="O9" s="1"/>
  <c r="P9" s="1"/>
  <c r="Q9" s="1"/>
  <c r="R9" s="1"/>
  <c r="S9" s="1"/>
  <c r="E8"/>
  <c r="E7"/>
  <c r="K4"/>
  <c r="B3"/>
  <c r="A50" l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H55"/>
  <c r="H49"/>
  <c r="H13"/>
  <c r="E14"/>
  <c r="H19"/>
  <c r="E20"/>
  <c r="E41"/>
  <c r="H40"/>
  <c r="T9"/>
  <c r="U9" s="1"/>
  <c r="V9" s="1"/>
  <c r="W9" s="1"/>
  <c r="X9" s="1"/>
  <c r="Y9" s="1"/>
  <c r="Z9" s="1"/>
  <c r="S10"/>
  <c r="L10"/>
  <c r="E21" l="1"/>
  <c r="E22" s="1"/>
  <c r="E23" s="1"/>
  <c r="H23" s="1"/>
  <c r="H14"/>
  <c r="H20"/>
  <c r="E42"/>
  <c r="E43" s="1"/>
  <c r="H43" s="1"/>
  <c r="H41"/>
  <c r="Z10"/>
  <c r="AA9"/>
  <c r="AB9" s="1"/>
  <c r="AC9" s="1"/>
  <c r="AD9" s="1"/>
  <c r="AE9" s="1"/>
  <c r="AF9" s="1"/>
  <c r="AG9" s="1"/>
  <c r="A91" l="1"/>
  <c r="H56"/>
  <c r="H57"/>
  <c r="H21"/>
  <c r="H22"/>
  <c r="E15"/>
  <c r="H42"/>
  <c r="AG10"/>
  <c r="AH9"/>
  <c r="AI9" s="1"/>
  <c r="AJ9" s="1"/>
  <c r="AK9" s="1"/>
  <c r="AL9" s="1"/>
  <c r="AM9" s="1"/>
  <c r="AN9" s="1"/>
  <c r="A92" l="1"/>
  <c r="A93" s="1"/>
  <c r="A94" s="1"/>
  <c r="H15"/>
  <c r="E16"/>
  <c r="H16" s="1"/>
  <c r="D11"/>
  <c r="H11" s="1"/>
  <c r="AN10"/>
  <c r="AO9"/>
  <c r="AP9" s="1"/>
  <c r="AQ9" s="1"/>
  <c r="AR9" s="1"/>
  <c r="AS9" s="1"/>
  <c r="AT9" s="1"/>
  <c r="AU9" s="1"/>
  <c r="A95" l="1"/>
  <c r="H58"/>
  <c r="H59"/>
  <c r="AV9"/>
  <c r="AW9" s="1"/>
  <c r="AX9" s="1"/>
  <c r="AY9" s="1"/>
  <c r="AZ9" s="1"/>
  <c r="BA9" s="1"/>
  <c r="BB9" s="1"/>
  <c r="AU10"/>
  <c r="A96" l="1"/>
  <c r="H61"/>
  <c r="BB10"/>
  <c r="BC9"/>
  <c r="BD9" s="1"/>
  <c r="BE9" s="1"/>
  <c r="BF9" s="1"/>
  <c r="BG9" s="1"/>
  <c r="BH9" s="1"/>
  <c r="BI9" s="1"/>
  <c r="A97" l="1"/>
  <c r="A98" s="1"/>
  <c r="A99" s="1"/>
  <c r="A100" s="1"/>
  <c r="A101" s="1"/>
  <c r="A102" s="1"/>
  <c r="H51"/>
  <c r="H60"/>
  <c r="BJ9"/>
  <c r="BK9" s="1"/>
  <c r="BL9" s="1"/>
  <c r="BM9" s="1"/>
  <c r="BN9" s="1"/>
  <c r="BO9" s="1"/>
  <c r="BP9" s="1"/>
  <c r="BI10"/>
  <c r="A103" l="1"/>
  <c r="BQ9"/>
  <c r="BR9" s="1"/>
  <c r="BS9" s="1"/>
  <c r="BT9" s="1"/>
  <c r="BU9" s="1"/>
  <c r="BV9" s="1"/>
  <c r="BW9" s="1"/>
  <c r="BP10"/>
  <c r="A104" l="1"/>
  <c r="BX9"/>
  <c r="BY9" s="1"/>
  <c r="BZ9" s="1"/>
  <c r="CA9" s="1"/>
  <c r="CB9" s="1"/>
  <c r="CC9" s="1"/>
  <c r="CD9" s="1"/>
  <c r="BW10"/>
  <c r="A105" l="1"/>
  <c r="A106" s="1"/>
  <c r="A107" s="1"/>
  <c r="A108" s="1"/>
  <c r="A109" s="1"/>
  <c r="A110" s="1"/>
  <c r="CD10"/>
  <c r="CE9"/>
  <c r="CF9" s="1"/>
  <c r="CG9" s="1"/>
  <c r="CH9" s="1"/>
  <c r="CI9" s="1"/>
  <c r="CJ9" s="1"/>
  <c r="CK9" s="1"/>
  <c r="A111" l="1"/>
  <c r="CK10"/>
  <c r="CL9"/>
  <c r="CM9" s="1"/>
  <c r="CN9" s="1"/>
  <c r="CO9" s="1"/>
  <c r="CP9" s="1"/>
  <c r="CQ9" s="1"/>
  <c r="CR9" s="1"/>
  <c r="A112" l="1"/>
  <c r="CR10"/>
  <c r="CS9"/>
  <c r="CT9" s="1"/>
  <c r="CU9" s="1"/>
  <c r="CV9" s="1"/>
  <c r="CW9" s="1"/>
  <c r="CX9" s="1"/>
  <c r="CY9" s="1"/>
  <c r="A113" l="1"/>
  <c r="A114" s="1"/>
  <c r="A115" s="1"/>
  <c r="A116" s="1"/>
  <c r="A117" s="1"/>
  <c r="A118" s="1"/>
  <c r="A119" s="1"/>
  <c r="CZ9"/>
  <c r="DA9" s="1"/>
  <c r="DB9" s="1"/>
  <c r="DC9" s="1"/>
  <c r="DD9" s="1"/>
  <c r="DE9" s="1"/>
  <c r="DF9" s="1"/>
  <c r="CY10"/>
  <c r="A120" l="1"/>
  <c r="DF10"/>
  <c r="DG9"/>
  <c r="DH9" s="1"/>
  <c r="DI9" s="1"/>
  <c r="DJ9" s="1"/>
  <c r="DK9" s="1"/>
  <c r="DL9" s="1"/>
  <c r="DM9" s="1"/>
  <c r="A121" l="1"/>
  <c r="DN9"/>
  <c r="DO9" s="1"/>
  <c r="DP9" s="1"/>
  <c r="DQ9" s="1"/>
  <c r="DR9" s="1"/>
  <c r="DS9" s="1"/>
  <c r="DT9" s="1"/>
  <c r="DM10"/>
  <c r="A122" l="1"/>
  <c r="A123" s="1"/>
  <c r="A124" s="1"/>
  <c r="A125" s="1"/>
  <c r="A126" s="1"/>
  <c r="DU9"/>
  <c r="DV9" s="1"/>
  <c r="DW9" s="1"/>
  <c r="DX9" s="1"/>
  <c r="DY9" s="1"/>
  <c r="DZ9" s="1"/>
  <c r="EA9" s="1"/>
  <c r="DT10"/>
  <c r="A127" l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EB9"/>
  <c r="EC9" s="1"/>
  <c r="ED9" s="1"/>
  <c r="EE9" s="1"/>
  <c r="EF9" s="1"/>
  <c r="EG9" s="1"/>
  <c r="EH9" s="1"/>
  <c r="EA10"/>
  <c r="A236" l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EH10"/>
  <c r="EI9"/>
  <c r="EJ9" s="1"/>
  <c r="EK9" s="1"/>
  <c r="EL9" s="1"/>
  <c r="EM9" s="1"/>
  <c r="EN9" s="1"/>
  <c r="EO9" s="1"/>
  <c r="A253" l="1"/>
  <c r="A254" s="1"/>
  <c r="A255" s="1"/>
  <c r="EO10"/>
  <c r="EP9"/>
  <c r="EQ9" s="1"/>
  <c r="ER9" s="1"/>
  <c r="ES9" s="1"/>
  <c r="ET9" s="1"/>
  <c r="EU9" s="1"/>
  <c r="EV9" s="1"/>
  <c r="A256" l="1"/>
  <c r="A257" s="1"/>
  <c r="EV10"/>
  <c r="EW9"/>
  <c r="EX9" s="1"/>
  <c r="EY9" s="1"/>
  <c r="EZ9" s="1"/>
  <c r="FA9" s="1"/>
  <c r="FB9" s="1"/>
  <c r="FC9" s="1"/>
  <c r="FD9" l="1"/>
  <c r="FE9" s="1"/>
  <c r="FF9" s="1"/>
  <c r="FG9" s="1"/>
  <c r="FH9" s="1"/>
  <c r="FI9" s="1"/>
  <c r="FJ9" s="1"/>
  <c r="FC10"/>
  <c r="FJ10" l="1"/>
  <c r="FK9"/>
  <c r="FL9" s="1"/>
  <c r="FM9" s="1"/>
  <c r="FN9" s="1"/>
  <c r="FO9" s="1"/>
  <c r="FP9" s="1"/>
  <c r="FQ9" s="1"/>
  <c r="FR9" l="1"/>
  <c r="FS9" s="1"/>
  <c r="FT9" s="1"/>
  <c r="FU9" s="1"/>
  <c r="FV9" s="1"/>
  <c r="FW9" s="1"/>
  <c r="FX9" s="1"/>
  <c r="FQ10"/>
  <c r="FY9" l="1"/>
  <c r="FZ9" s="1"/>
  <c r="GA9" s="1"/>
  <c r="GB9" s="1"/>
  <c r="GC9" s="1"/>
  <c r="GD9" s="1"/>
  <c r="GE9" s="1"/>
  <c r="FX10"/>
  <c r="GF9" l="1"/>
  <c r="GG9" s="1"/>
  <c r="GH9" s="1"/>
  <c r="GI9" s="1"/>
  <c r="GJ9" s="1"/>
  <c r="GK9" s="1"/>
  <c r="GL9" s="1"/>
  <c r="GE10"/>
  <c r="GL10" l="1"/>
  <c r="GM9"/>
  <c r="GN9" s="1"/>
  <c r="GO9" s="1"/>
  <c r="GP9" s="1"/>
  <c r="GQ9" s="1"/>
  <c r="GR9" s="1"/>
  <c r="GS9" s="1"/>
  <c r="GS10" l="1"/>
  <c r="GT9"/>
  <c r="GU9" s="1"/>
  <c r="GV9" s="1"/>
  <c r="GW9" s="1"/>
  <c r="GX9" s="1"/>
  <c r="GY9" s="1"/>
  <c r="GZ9" s="1"/>
  <c r="GZ10" l="1"/>
  <c r="HA9"/>
  <c r="HB9" s="1"/>
  <c r="HC9" s="1"/>
  <c r="HD9" s="1"/>
  <c r="HE9" s="1"/>
  <c r="HF9" s="1"/>
  <c r="HG9" s="1"/>
  <c r="HH9" l="1"/>
  <c r="HI9" s="1"/>
  <c r="HJ9" s="1"/>
  <c r="HK9" s="1"/>
  <c r="HL9" s="1"/>
  <c r="HM9" s="1"/>
  <c r="HN9" s="1"/>
  <c r="HG10"/>
  <c r="HN10" l="1"/>
  <c r="HO9"/>
  <c r="HP9" s="1"/>
  <c r="HQ9" s="1"/>
  <c r="HR9" s="1"/>
  <c r="HS9" s="1"/>
  <c r="HT9" s="1"/>
  <c r="HU9" s="1"/>
  <c r="HV9" l="1"/>
  <c r="HW9" s="1"/>
  <c r="HX9" s="1"/>
  <c r="HY9" s="1"/>
  <c r="HZ9" s="1"/>
  <c r="IA9" s="1"/>
  <c r="IB9" s="1"/>
  <c r="HU10"/>
  <c r="IC9" l="1"/>
  <c r="ID9" s="1"/>
  <c r="IE9" s="1"/>
  <c r="IF9" s="1"/>
  <c r="IG9" s="1"/>
  <c r="IH9" s="1"/>
  <c r="II9" s="1"/>
  <c r="IB10"/>
  <c r="IJ9" l="1"/>
  <c r="IK9" s="1"/>
  <c r="IL9" s="1"/>
  <c r="IM9" s="1"/>
  <c r="IN9" s="1"/>
  <c r="IO9" s="1"/>
  <c r="II10"/>
  <c r="I12"/>
  <c r="J12" s="1"/>
  <c r="I18"/>
  <c r="J18" s="1"/>
  <c r="I11"/>
  <c r="J11" s="1"/>
  <c r="A258"/>
  <c r="A259" l="1"/>
  <c r="A260" s="1"/>
  <c r="A261" l="1"/>
  <c r="A262" s="1"/>
  <c r="A264" s="1"/>
  <c r="A265" s="1"/>
  <c r="A266" s="1"/>
  <c r="A270"/>
  <c r="A271" s="1"/>
  <c r="A267" l="1"/>
  <c r="A268" s="1"/>
  <c r="A272"/>
  <c r="A273" s="1"/>
  <c r="A274" l="1"/>
  <c r="A275" s="1"/>
  <c r="A276" s="1"/>
  <c r="A278" s="1"/>
  <c r="A279" s="1"/>
  <c r="A280" l="1"/>
  <c r="A282" s="1"/>
  <c r="A287" l="1"/>
  <c r="A288" s="1"/>
  <c r="A289" s="1"/>
  <c r="A290" s="1"/>
  <c r="A291" s="1"/>
  <c r="A292" s="1"/>
  <c r="A293" s="1"/>
  <c r="A283"/>
  <c r="A284" s="1"/>
</calcChain>
</file>

<file path=xl/sharedStrings.xml><?xml version="1.0" encoding="utf-8"?>
<sst xmlns="http://schemas.openxmlformats.org/spreadsheetml/2006/main" count="586" uniqueCount="208">
  <si>
    <r>
      <rPr>
        <b/>
        <sz val="11"/>
        <color indexed="62"/>
        <rFont val="宋体"/>
        <family val="3"/>
        <charset val="134"/>
      </rPr>
      <t>项目名称</t>
    </r>
    <r>
      <rPr>
        <b/>
        <sz val="11"/>
        <color indexed="62"/>
        <rFont val="Arial"/>
        <family val="2"/>
      </rPr>
      <t>:</t>
    </r>
  </si>
  <si>
    <t>项目详细</t>
  </si>
  <si>
    <t>开始日期</t>
  </si>
  <si>
    <t>开发者</t>
  </si>
  <si>
    <t>开发时间</t>
  </si>
  <si>
    <t>管理者</t>
  </si>
  <si>
    <t>柳哲进</t>
  </si>
  <si>
    <t>文档记录</t>
  </si>
  <si>
    <t>No</t>
  </si>
  <si>
    <t>日期</t>
  </si>
  <si>
    <t>内容</t>
  </si>
  <si>
    <t>记录人</t>
  </si>
  <si>
    <t>项目进度表</t>
  </si>
  <si>
    <t>沈阳德铭源科技 damytech @ 2015</t>
  </si>
  <si>
    <r>
      <rPr>
        <b/>
        <sz val="11"/>
        <color indexed="62"/>
        <rFont val="宋体"/>
        <family val="3"/>
        <charset val="134"/>
      </rPr>
      <t>项目</t>
    </r>
    <r>
      <rPr>
        <b/>
        <sz val="11"/>
        <color indexed="62"/>
        <rFont val="Arial"/>
        <family val="2"/>
      </rPr>
      <t>:</t>
    </r>
  </si>
  <si>
    <t xml:space="preserve">              </t>
  </si>
  <si>
    <r>
      <rPr>
        <sz val="11"/>
        <rFont val="宋体"/>
        <family val="3"/>
        <charset val="134"/>
      </rPr>
      <t>今天</t>
    </r>
    <r>
      <rPr>
        <sz val="11"/>
        <rFont val="Arial"/>
        <family val="2"/>
      </rPr>
      <t>:</t>
    </r>
  </si>
  <si>
    <t>(vertical red line)</t>
  </si>
  <si>
    <t>项目管理者:</t>
  </si>
  <si>
    <t>[42]</t>
  </si>
  <si>
    <t>开始日期:</t>
  </si>
  <si>
    <t>结束日期:</t>
  </si>
  <si>
    <r>
      <rPr>
        <i/>
        <sz val="11"/>
        <rFont val="宋体"/>
        <family val="3"/>
        <charset val="134"/>
      </rPr>
      <t>周一</t>
    </r>
    <r>
      <rPr>
        <i/>
        <sz val="11"/>
        <rFont val="Arial"/>
        <family val="2"/>
      </rPr>
      <t xml:space="preserve"> (</t>
    </r>
    <r>
      <rPr>
        <i/>
        <sz val="11"/>
        <rFont val="宋体"/>
        <family val="3"/>
        <charset val="134"/>
      </rPr>
      <t>星期一</t>
    </r>
    <r>
      <rPr>
        <i/>
        <sz val="11"/>
        <rFont val="Arial"/>
        <family val="2"/>
      </rPr>
      <t>:2):</t>
    </r>
  </si>
  <si>
    <t>WBS</t>
  </si>
  <si>
    <t>任务</t>
  </si>
  <si>
    <t>结束日期</t>
  </si>
  <si>
    <r>
      <rPr>
        <sz val="11"/>
        <rFont val="宋体"/>
        <family val="3"/>
        <charset val="134"/>
      </rPr>
      <t>时间</t>
    </r>
    <r>
      <rPr>
        <sz val="11"/>
        <rFont val="Arial"/>
        <family val="2"/>
      </rPr>
      <t xml:space="preserve"> (</t>
    </r>
    <r>
      <rPr>
        <sz val="11"/>
        <rFont val="宋体"/>
        <family val="3"/>
        <charset val="134"/>
      </rPr>
      <t>天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</si>
  <si>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 xml:space="preserve">% </t>
    </r>
    <r>
      <rPr>
        <sz val="11"/>
        <rFont val="宋体"/>
        <family val="3"/>
        <charset val="134"/>
      </rPr>
      <t>完成</t>
    </r>
  </si>
  <si>
    <t>工作时间</t>
  </si>
  <si>
    <t>完成时间</t>
  </si>
  <si>
    <t>剩下日期</t>
  </si>
  <si>
    <t>全部</t>
  </si>
  <si>
    <t xml:space="preserve">                </t>
  </si>
  <si>
    <t xml:space="preserve">             </t>
  </si>
  <si>
    <t>Budget</t>
  </si>
  <si>
    <t>Project</t>
  </si>
  <si>
    <t xml:space="preserve"> </t>
  </si>
  <si>
    <t>Project #</t>
  </si>
  <si>
    <t>Project manager</t>
  </si>
  <si>
    <t>Sponsor</t>
  </si>
  <si>
    <t>Project artifacts</t>
  </si>
  <si>
    <t>Updated</t>
  </si>
  <si>
    <t>Budget Status</t>
  </si>
  <si>
    <t>Approved Budget</t>
  </si>
  <si>
    <t>Planned Expenditures to Date</t>
  </si>
  <si>
    <t>Actual Expenditures to Date</t>
  </si>
  <si>
    <t>Variance</t>
  </si>
  <si>
    <t>Planned Remaining Budget</t>
  </si>
  <si>
    <t>Actual Remaining Budget</t>
  </si>
  <si>
    <t>Additional $ needed</t>
  </si>
  <si>
    <t>Budget Details</t>
  </si>
  <si>
    <t>Internal Expenses</t>
  </si>
  <si>
    <t>Salaries</t>
  </si>
  <si>
    <t>Hourly Rate</t>
  </si>
  <si>
    <t># Hours</t>
  </si>
  <si>
    <t>Total Cost</t>
  </si>
  <si>
    <t>Type of resource</t>
  </si>
  <si>
    <t>Other Internal Expenses</t>
  </si>
  <si>
    <t>Type of expense</t>
  </si>
  <si>
    <t>Total Internal Expenses</t>
  </si>
  <si>
    <t>External Expenses</t>
  </si>
  <si>
    <t>Consulting Costs</t>
  </si>
  <si>
    <t>Type of consulting</t>
  </si>
  <si>
    <t>Capital Expenditures</t>
  </si>
  <si>
    <t>Total External Expenses</t>
  </si>
  <si>
    <t>Total Budget</t>
  </si>
  <si>
    <r>
      <rPr>
        <b/>
        <sz val="12"/>
        <color indexed="9"/>
        <rFont val="宋体"/>
        <family val="3"/>
        <charset val="134"/>
      </rPr>
      <t>风险管理</t>
    </r>
    <r>
      <rPr>
        <b/>
        <sz val="12"/>
        <color indexed="9"/>
        <rFont val="Arial"/>
        <family val="2"/>
      </rPr>
      <t xml:space="preserve"> (</t>
    </r>
    <r>
      <rPr>
        <b/>
        <sz val="12"/>
        <color indexed="9"/>
        <rFont val="宋体"/>
        <family val="3"/>
        <charset val="134"/>
      </rPr>
      <t>风险登记</t>
    </r>
    <r>
      <rPr>
        <b/>
        <sz val="12"/>
        <color indexed="9"/>
        <rFont val="Arial"/>
        <family val="2"/>
      </rPr>
      <t>)</t>
    </r>
  </si>
  <si>
    <t>ID</t>
  </si>
  <si>
    <t>Risk Description</t>
  </si>
  <si>
    <t>Probability</t>
  </si>
  <si>
    <t>Impact</t>
  </si>
  <si>
    <t>Detectability</t>
  </si>
  <si>
    <t>Importance</t>
  </si>
  <si>
    <t>Category</t>
  </si>
  <si>
    <t>Trigger Event/Indicator</t>
  </si>
  <si>
    <t>Risk Response and Description</t>
  </si>
  <si>
    <t>Contingency Plan</t>
  </si>
  <si>
    <t>Owner</t>
  </si>
  <si>
    <t>Status</t>
  </si>
  <si>
    <t>Date Entered</t>
  </si>
  <si>
    <t>Date to Review</t>
  </si>
  <si>
    <t>What is this risk?</t>
  </si>
  <si>
    <t>What act or event initiates either the risk occurrence or precipitates the response strategy?</t>
  </si>
  <si>
    <t>How will you respond to this risk and what actions will you take to match that response?</t>
  </si>
  <si>
    <t>If the risk becomes a reality, what will you do in response, as a backup, or alternative/ workaround?</t>
  </si>
  <si>
    <t>Who monitors this risk?</t>
  </si>
  <si>
    <t>问题日志</t>
  </si>
  <si>
    <t>Issue Description</t>
  </si>
  <si>
    <t>Project Impact</t>
  </si>
  <si>
    <t>Action Plan/Resolution</t>
  </si>
  <si>
    <t>Date Resolved</t>
  </si>
  <si>
    <t>What is the issue?</t>
  </si>
  <si>
    <t>How will this impact scope, schedule &amp; cost?</t>
  </si>
  <si>
    <t>How do you intend to deal with this issue?</t>
  </si>
  <si>
    <t>Who manages this issue?</t>
  </si>
  <si>
    <t>Gantt Chart Template</t>
  </si>
  <si>
    <t>© 2008-2009 Vertex42 LLC</t>
  </si>
  <si>
    <t>http://www.vertex42.com/ExcelTemplates/excel-gantt-chart.html</t>
  </si>
  <si>
    <t>网站和手机端功能进度</t>
  </si>
  <si>
    <t>难度</t>
  </si>
  <si>
    <t>手机端</t>
    <phoneticPr fontId="7" type="noConversion"/>
  </si>
  <si>
    <r>
      <rPr>
        <sz val="11"/>
        <rFont val="SimSun-ExtB"/>
        <family val="3"/>
        <charset val="134"/>
      </rPr>
      <t>访</t>
    </r>
    <r>
      <rPr>
        <sz val="11"/>
        <rFont val="KP CheongPong"/>
        <family val="3"/>
        <charset val="136"/>
      </rPr>
      <t>客</t>
    </r>
    <phoneticPr fontId="7" type="noConversion"/>
  </si>
  <si>
    <r>
      <rPr>
        <sz val="11"/>
        <rFont val="SimSun-ExtB"/>
        <family val="3"/>
        <charset val="134"/>
      </rPr>
      <t>园</t>
    </r>
    <r>
      <rPr>
        <sz val="11"/>
        <rFont val="MS Gothic"/>
        <family val="3"/>
        <charset val="128"/>
      </rPr>
      <t>区</t>
    </r>
    <r>
      <rPr>
        <sz val="11"/>
        <rFont val="KP CheongPong"/>
        <family val="3"/>
        <charset val="136"/>
      </rPr>
      <t>介</t>
    </r>
    <r>
      <rPr>
        <sz val="11"/>
        <rFont val="SimSun-ExtB"/>
        <family val="3"/>
        <charset val="134"/>
      </rPr>
      <t>绍</t>
    </r>
    <phoneticPr fontId="7" type="noConversion"/>
  </si>
  <si>
    <t>殡葬知识</t>
    <phoneticPr fontId="7" type="noConversion"/>
  </si>
  <si>
    <t>生活小知识</t>
    <phoneticPr fontId="7" type="noConversion"/>
  </si>
  <si>
    <r>
      <rPr>
        <sz val="11"/>
        <rFont val="MS Gothic"/>
        <family val="3"/>
        <charset val="128"/>
      </rPr>
      <t>旧</t>
    </r>
    <r>
      <rPr>
        <sz val="11"/>
        <rFont val="KP CheongPong"/>
        <family val="3"/>
        <charset val="136"/>
      </rPr>
      <t>客</t>
    </r>
    <r>
      <rPr>
        <sz val="11"/>
        <rFont val="SimSun-ExtB"/>
        <family val="3"/>
        <charset val="134"/>
      </rPr>
      <t>户</t>
    </r>
    <phoneticPr fontId="7" type="noConversion"/>
  </si>
  <si>
    <t>小游戏</t>
    <phoneticPr fontId="7" type="noConversion"/>
  </si>
  <si>
    <t>园区活动通知</t>
    <phoneticPr fontId="7" type="noConversion"/>
  </si>
  <si>
    <t>亲人生殁日通知</t>
    <phoneticPr fontId="7" type="noConversion"/>
  </si>
  <si>
    <t>亲人数据查询</t>
    <phoneticPr fontId="7" type="noConversion"/>
  </si>
  <si>
    <t>落葬仪式预约</t>
    <phoneticPr fontId="7" type="noConversion"/>
  </si>
  <si>
    <t>在线活动祭品购买</t>
    <phoneticPr fontId="7" type="noConversion"/>
  </si>
  <si>
    <t>代祭拜回函</t>
    <phoneticPr fontId="7" type="noConversion"/>
  </si>
  <si>
    <t>服务人员资料</t>
    <phoneticPr fontId="7" type="noConversion"/>
  </si>
  <si>
    <t>代销商</t>
    <phoneticPr fontId="7" type="noConversion"/>
  </si>
  <si>
    <t>园区活动 业务制度通知</t>
    <phoneticPr fontId="7" type="noConversion"/>
  </si>
  <si>
    <t>在线保留系统</t>
    <phoneticPr fontId="7" type="noConversion"/>
  </si>
  <si>
    <t>在线代订活动祭品</t>
    <phoneticPr fontId="7" type="noConversion"/>
  </si>
  <si>
    <t>在线商品奖金计算</t>
    <phoneticPr fontId="7" type="noConversion"/>
  </si>
  <si>
    <t>在线祭品奖金计算</t>
    <phoneticPr fontId="7" type="noConversion"/>
  </si>
  <si>
    <t>观陵山服务人员资料</t>
    <phoneticPr fontId="7" type="noConversion"/>
  </si>
  <si>
    <t>员工</t>
    <phoneticPr fontId="7" type="noConversion"/>
  </si>
  <si>
    <t>园区活动业务制度通知</t>
    <phoneticPr fontId="7" type="noConversion"/>
  </si>
  <si>
    <t>在线保留系统</t>
    <phoneticPr fontId="7" type="noConversion"/>
  </si>
  <si>
    <t>在线陵园订购</t>
    <phoneticPr fontId="7" type="noConversion"/>
  </si>
  <si>
    <t>代销人员资料</t>
    <phoneticPr fontId="7" type="noConversion"/>
  </si>
  <si>
    <t>自有客户商品订购通知</t>
    <phoneticPr fontId="7" type="noConversion"/>
  </si>
  <si>
    <t>领导</t>
    <phoneticPr fontId="7" type="noConversion"/>
  </si>
  <si>
    <t>出勤内容</t>
    <phoneticPr fontId="7" type="noConversion"/>
  </si>
  <si>
    <t>每月各办事处单月业绩</t>
    <phoneticPr fontId="7" type="noConversion"/>
  </si>
  <si>
    <t>每年累进业绩</t>
    <phoneticPr fontId="7" type="noConversion"/>
  </si>
  <si>
    <t>单日业绩</t>
    <phoneticPr fontId="7" type="noConversion"/>
  </si>
  <si>
    <t>单日落葬人数</t>
    <phoneticPr fontId="7" type="noConversion"/>
  </si>
  <si>
    <t>代销人员业绩</t>
    <phoneticPr fontId="7" type="noConversion"/>
  </si>
  <si>
    <t>原型图确定及制作</t>
    <phoneticPr fontId="7" type="noConversion"/>
  </si>
  <si>
    <t>后台网站</t>
    <phoneticPr fontId="7" type="noConversion"/>
  </si>
  <si>
    <t>Android开发</t>
    <phoneticPr fontId="7" type="noConversion"/>
  </si>
  <si>
    <t>iPhone开发</t>
    <phoneticPr fontId="7" type="noConversion"/>
  </si>
  <si>
    <t>数据库设计</t>
    <phoneticPr fontId="7" type="noConversion"/>
  </si>
  <si>
    <r>
      <rPr>
        <sz val="11"/>
        <rFont val="MS Gothic"/>
        <family val="3"/>
        <charset val="128"/>
      </rPr>
      <t>地</t>
    </r>
    <r>
      <rPr>
        <sz val="11"/>
        <rFont val="SimSun-ExtB"/>
        <family val="3"/>
        <charset val="134"/>
      </rPr>
      <t>图</t>
    </r>
    <r>
      <rPr>
        <sz val="11"/>
        <rFont val="MS Gothic"/>
        <family val="3"/>
        <charset val="128"/>
      </rPr>
      <t>管理</t>
    </r>
    <phoneticPr fontId="7" type="noConversion"/>
  </si>
  <si>
    <t>生活知识管理</t>
    <phoneticPr fontId="7" type="noConversion"/>
  </si>
  <si>
    <t>商品管理</t>
    <phoneticPr fontId="7" type="noConversion"/>
  </si>
  <si>
    <t>预约管理</t>
    <phoneticPr fontId="7" type="noConversion"/>
  </si>
  <si>
    <t>订购管理</t>
    <phoneticPr fontId="7" type="noConversion"/>
  </si>
  <si>
    <t>通知管理</t>
    <phoneticPr fontId="7" type="noConversion"/>
  </si>
  <si>
    <t>出勤管理</t>
    <phoneticPr fontId="7" type="noConversion"/>
  </si>
  <si>
    <t>业绩管理</t>
    <phoneticPr fontId="7" type="noConversion"/>
  </si>
  <si>
    <t>用户管理</t>
    <phoneticPr fontId="7" type="noConversion"/>
  </si>
  <si>
    <t>Web Service开发</t>
    <phoneticPr fontId="7" type="noConversion"/>
  </si>
  <si>
    <t>后台网站开发</t>
    <phoneticPr fontId="7" type="noConversion"/>
  </si>
  <si>
    <t>殡葬知识</t>
  </si>
  <si>
    <t>首页界面</t>
  </si>
  <si>
    <t>Demo开发</t>
  </si>
  <si>
    <t>开发完成</t>
  </si>
  <si>
    <t>金学敏</t>
  </si>
  <si>
    <t>李哲</t>
  </si>
  <si>
    <t>肖娜娜</t>
  </si>
  <si>
    <t>金玉哲</t>
  </si>
  <si>
    <t>李哲，李志远</t>
  </si>
  <si>
    <t>金玉哲,金学敏,李哲</t>
  </si>
  <si>
    <t>尹升日</t>
  </si>
  <si>
    <t>李哲，尹升日</t>
  </si>
  <si>
    <t>张忠昱,刘峻宏,史瑞丰</t>
  </si>
  <si>
    <t>网站和手机端功能进度修改</t>
  </si>
  <si>
    <r>
      <rPr>
        <sz val="11"/>
        <rFont val="KP CheongPong"/>
        <family val="3"/>
        <charset val="136"/>
      </rPr>
      <t>尹升日,金</t>
    </r>
    <r>
      <rPr>
        <sz val="11"/>
        <rFont val="MS Gothic"/>
        <family val="3"/>
        <charset val="128"/>
      </rPr>
      <t>学敏</t>
    </r>
  </si>
  <si>
    <t>观陵山平台</t>
  </si>
  <si>
    <t>尹升日,金学敏</t>
  </si>
  <si>
    <t>金玉哲,金学敏</t>
  </si>
  <si>
    <t>园区信息</t>
    <phoneticPr fontId="7" type="noConversion"/>
  </si>
  <si>
    <t>系统用户管理</t>
    <phoneticPr fontId="7" type="noConversion"/>
  </si>
  <si>
    <t>其他</t>
    <phoneticPr fontId="7" type="noConversion"/>
  </si>
  <si>
    <t xml:space="preserve">   注册用户审核</t>
    <phoneticPr fontId="7" type="noConversion"/>
  </si>
  <si>
    <t>休假管理</t>
    <phoneticPr fontId="7" type="noConversion"/>
  </si>
  <si>
    <t xml:space="preserve">   旧客户</t>
    <phoneticPr fontId="7" type="noConversion"/>
  </si>
  <si>
    <t xml:space="preserve">   员工</t>
    <phoneticPr fontId="7" type="noConversion"/>
  </si>
  <si>
    <t xml:space="preserve">   代销商</t>
    <phoneticPr fontId="7" type="noConversion"/>
  </si>
  <si>
    <t>陵墓订单</t>
    <phoneticPr fontId="7" type="noConversion"/>
  </si>
  <si>
    <r>
      <t xml:space="preserve">      </t>
    </r>
    <r>
      <rPr>
        <sz val="11"/>
        <rFont val="宋体"/>
        <family val="3"/>
        <charset val="134"/>
      </rPr>
      <t>地区管理</t>
    </r>
    <phoneticPr fontId="7" type="noConversion"/>
  </si>
  <si>
    <r>
      <t xml:space="preserve">      </t>
    </r>
    <r>
      <rPr>
        <sz val="11"/>
        <rFont val="宋体"/>
        <family val="3"/>
        <charset val="134"/>
      </rPr>
      <t>游戏管理（链接地址）</t>
    </r>
    <phoneticPr fontId="7" type="noConversion"/>
  </si>
  <si>
    <r>
      <t xml:space="preserve">      </t>
    </r>
    <r>
      <rPr>
        <sz val="11"/>
        <rFont val="宋体"/>
        <family val="3"/>
        <charset val="134"/>
      </rPr>
      <t>衣食住行管理（链接地址，育为上传图片）</t>
    </r>
    <phoneticPr fontId="7" type="noConversion"/>
  </si>
  <si>
    <r>
      <t xml:space="preserve">      </t>
    </r>
    <r>
      <rPr>
        <sz val="11"/>
        <rFont val="宋体"/>
        <family val="3"/>
        <charset val="134"/>
      </rPr>
      <t>奖金计算公式调整</t>
    </r>
    <phoneticPr fontId="7" type="noConversion"/>
  </si>
  <si>
    <t xml:space="preserve">  百度地图上添加办事处地址</t>
    <phoneticPr fontId="7" type="noConversion"/>
  </si>
  <si>
    <t>订单管理管理</t>
    <phoneticPr fontId="7" type="noConversion"/>
  </si>
  <si>
    <t xml:space="preserve">   修改密码</t>
    <phoneticPr fontId="7" type="noConversion"/>
  </si>
  <si>
    <t>园区活动（原36景）</t>
    <phoneticPr fontId="7" type="noConversion"/>
  </si>
  <si>
    <t>一条龙服务（有排序功能）</t>
    <phoneticPr fontId="7" type="noConversion"/>
  </si>
  <si>
    <t>推送到手机</t>
    <phoneticPr fontId="7" type="noConversion"/>
  </si>
  <si>
    <t>史瑞丰</t>
    <phoneticPr fontId="7" type="noConversion"/>
  </si>
  <si>
    <t>刘俊宏</t>
    <phoneticPr fontId="7" type="noConversion"/>
  </si>
  <si>
    <t>园区活动通知(发布新通知推送到手机)</t>
    <phoneticPr fontId="7" type="noConversion"/>
  </si>
  <si>
    <t xml:space="preserve">   旅游景点管理（导航功能）</t>
    <phoneticPr fontId="7" type="noConversion"/>
  </si>
  <si>
    <t>办事处管理</t>
    <phoneticPr fontId="7" type="noConversion"/>
  </si>
  <si>
    <t>园区墓地商品管理</t>
    <phoneticPr fontId="7" type="noConversion"/>
  </si>
  <si>
    <t>园区祭拜用品管理</t>
    <phoneticPr fontId="7" type="noConversion"/>
  </si>
  <si>
    <t>园区服务管理（落葬服务+代祭拜服务+祭品订购）</t>
    <phoneticPr fontId="7" type="noConversion"/>
  </si>
  <si>
    <t>园区信息修改(公司简介+购墓流程+购墓注意事项+落葬习俗+殡葬新闻)</t>
    <phoneticPr fontId="7" type="noConversion"/>
  </si>
  <si>
    <t>参观预约信息</t>
    <phoneticPr fontId="7" type="noConversion"/>
  </si>
  <si>
    <t>代寄拜回函发送</t>
    <phoneticPr fontId="7" type="noConversion"/>
  </si>
  <si>
    <t>单位时间预约人数设置</t>
    <phoneticPr fontId="7" type="noConversion"/>
  </si>
  <si>
    <t>祭拜预约</t>
    <phoneticPr fontId="7" type="noConversion"/>
  </si>
  <si>
    <t xml:space="preserve">   领导</t>
    <phoneticPr fontId="7" type="noConversion"/>
  </si>
  <si>
    <t xml:space="preserve">   系统使用用户</t>
    <phoneticPr fontId="7" type="noConversion"/>
  </si>
  <si>
    <t>祭拜用品订单</t>
    <phoneticPr fontId="7" type="noConversion"/>
  </si>
  <si>
    <t>修改订单备注</t>
    <phoneticPr fontId="7" type="noConversion"/>
  </si>
  <si>
    <t>查看员工/代销商/办事处业绩</t>
    <phoneticPr fontId="7" type="noConversion"/>
  </si>
  <si>
    <t>添加业绩</t>
    <phoneticPr fontId="7" type="noConversion"/>
  </si>
  <si>
    <t xml:space="preserve">   责任额度管理</t>
    <phoneticPr fontId="7" type="noConversion"/>
  </si>
  <si>
    <t>6.6.1</t>
    <phoneticPr fontId="7" type="noConversion"/>
  </si>
</sst>
</file>

<file path=xl/styles.xml><?xml version="1.0" encoding="utf-8"?>
<styleSheet xmlns="http://schemas.openxmlformats.org/spreadsheetml/2006/main">
  <numFmts count="3">
    <numFmt numFmtId="176" formatCode="&quot;$&quot;#,##0.00"/>
    <numFmt numFmtId="177" formatCode="m/d/yy;@"/>
    <numFmt numFmtId="178" formatCode="yyyy/m/d;@"/>
  </numFmts>
  <fonts count="59">
    <font>
      <sz val="10"/>
      <name val="Arial"/>
      <charset val="134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宋体"/>
      <family val="3"/>
      <charset val="134"/>
    </font>
    <font>
      <b/>
      <sz val="12"/>
      <color indexed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indexed="9"/>
      <name val="Times New Roman"/>
      <family val="1"/>
    </font>
    <font>
      <sz val="11"/>
      <name val="Arial"/>
      <family val="2"/>
    </font>
    <font>
      <b/>
      <sz val="11"/>
      <color indexed="9"/>
      <name val="宋体"/>
      <family val="3"/>
      <charset val="134"/>
    </font>
    <font>
      <b/>
      <sz val="11"/>
      <color indexed="16"/>
      <name val="Trebuchet MS"/>
      <family val="2"/>
    </font>
    <font>
      <sz val="11"/>
      <color indexed="16"/>
      <name val="Trebuchet MS"/>
      <family val="2"/>
    </font>
    <font>
      <b/>
      <sz val="11"/>
      <color indexed="62"/>
      <name val="Arial"/>
      <family val="2"/>
    </font>
    <font>
      <sz val="11"/>
      <name val="宋体"/>
      <family val="3"/>
      <charset val="134"/>
    </font>
    <font>
      <sz val="11"/>
      <color indexed="9"/>
      <name val="Arial"/>
      <family val="2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1"/>
      <name val="Arial Narrow"/>
      <family val="2"/>
    </font>
    <font>
      <sz val="11"/>
      <color indexed="62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i/>
      <sz val="11"/>
      <color indexed="9"/>
      <name val="Arial"/>
      <family val="2"/>
    </font>
    <font>
      <b/>
      <sz val="10"/>
      <color indexed="62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59"/>
      <name val="Calibri"/>
      <family val="2"/>
    </font>
    <font>
      <b/>
      <sz val="11"/>
      <color indexed="8"/>
      <name val="Calibri"/>
      <family val="2"/>
    </font>
    <font>
      <b/>
      <sz val="18"/>
      <color indexed="18"/>
      <name val="Cambria"/>
      <family val="1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sz val="11"/>
      <color indexed="5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3"/>
      <color indexed="18"/>
      <name val="Calibri"/>
      <family val="2"/>
    </font>
    <font>
      <sz val="11"/>
      <color indexed="53"/>
      <name val="Calibri"/>
      <family val="2"/>
    </font>
    <font>
      <i/>
      <sz val="11"/>
      <color indexed="23"/>
      <name val="Calibri"/>
      <family val="2"/>
    </font>
    <font>
      <b/>
      <sz val="11"/>
      <color indexed="18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b/>
      <sz val="11"/>
      <color indexed="50"/>
      <name val="Calibri"/>
      <family val="2"/>
    </font>
    <font>
      <b/>
      <sz val="15"/>
      <color indexed="18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sz val="11"/>
      <name val="宋体"/>
      <family val="3"/>
      <charset val="134"/>
    </font>
    <font>
      <b/>
      <sz val="11"/>
      <name val="SimSun"/>
      <charset val="134"/>
    </font>
    <font>
      <sz val="11"/>
      <name val="KP CheongPong"/>
      <family val="3"/>
      <charset val="136"/>
    </font>
    <font>
      <sz val="11"/>
      <name val="SimSun-ExtB"/>
      <family val="3"/>
      <charset val="134"/>
    </font>
    <font>
      <sz val="11"/>
      <name val="MS Gothic"/>
      <family val="3"/>
      <charset val="128"/>
    </font>
    <font>
      <b/>
      <sz val="11"/>
      <color indexed="62"/>
      <name val="宋体"/>
      <family val="3"/>
      <charset val="134"/>
    </font>
    <font>
      <i/>
      <sz val="11"/>
      <name val="宋体"/>
      <family val="3"/>
      <charset val="134"/>
    </font>
    <font>
      <b/>
      <sz val="22"/>
      <color indexed="62"/>
      <name val="SimSun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double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thick">
        <color indexed="4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2" fillId="12" borderId="27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4" fillId="0" borderId="29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9" fillId="21" borderId="31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5" fillId="19" borderId="0" applyNumberFormat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47" fillId="21" borderId="27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50" fillId="4" borderId="28" applyNumberFormat="0" applyFont="0" applyAlignment="0" applyProtection="0">
      <alignment vertical="center"/>
    </xf>
  </cellStyleXfs>
  <cellXfs count="183">
    <xf numFmtId="0" fontId="0" fillId="0" borderId="0" xfId="0" applyAlignment="1"/>
    <xf numFmtId="0" fontId="1" fillId="0" borderId="0" xfId="0" applyFont="1" applyAlignment="1"/>
    <xf numFmtId="0" fontId="2" fillId="0" borderId="0" xfId="34" applyAlignment="1" applyProtection="1"/>
    <xf numFmtId="0" fontId="0" fillId="2" borderId="0" xfId="0" applyFill="1" applyAlignment="1"/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textRotation="90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4" borderId="1" xfId="0" applyFont="1" applyFill="1" applyBorder="1" applyAlignment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176" fontId="6" fillId="0" borderId="1" xfId="0" applyNumberFormat="1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 wrapText="1"/>
    </xf>
    <xf numFmtId="0" fontId="9" fillId="5" borderId="5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indent="2"/>
    </xf>
    <xf numFmtId="0" fontId="11" fillId="0" borderId="1" xfId="0" applyFont="1" applyFill="1" applyBorder="1" applyAlignment="1">
      <alignment horizontal="left" indent="3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left" indent="3"/>
    </xf>
    <xf numFmtId="176" fontId="10" fillId="4" borderId="1" xfId="0" applyNumberFormat="1" applyFont="1" applyFill="1" applyBorder="1" applyAlignment="1">
      <alignment horizontal="center"/>
    </xf>
    <xf numFmtId="0" fontId="0" fillId="3" borderId="10" xfId="0" applyFill="1" applyBorder="1" applyAlignment="1"/>
    <xf numFmtId="176" fontId="12" fillId="3" borderId="1" xfId="0" applyNumberFormat="1" applyFont="1" applyFill="1" applyBorder="1" applyAlignment="1">
      <alignment horizontal="center"/>
    </xf>
    <xf numFmtId="0" fontId="13" fillId="2" borderId="0" xfId="0" applyFont="1" applyFill="1" applyAlignment="1"/>
    <xf numFmtId="0" fontId="13" fillId="2" borderId="0" xfId="0" applyFont="1" applyFill="1" applyBorder="1" applyAlignment="1"/>
    <xf numFmtId="0" fontId="13" fillId="2" borderId="14" xfId="0" applyFont="1" applyFill="1" applyBorder="1" applyAlignment="1" applyProtection="1"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Border="1" applyAlignment="1" applyProtection="1"/>
    <xf numFmtId="0" fontId="13" fillId="2" borderId="0" xfId="0" applyFont="1" applyFill="1" applyBorder="1" applyAlignment="1"/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4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3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vertical="center"/>
    </xf>
    <xf numFmtId="0" fontId="17" fillId="2" borderId="0" xfId="0" applyFont="1" applyFill="1" applyAlignment="1" applyProtection="1">
      <protection locked="0"/>
    </xf>
    <xf numFmtId="0" fontId="17" fillId="2" borderId="0" xfId="0" applyFont="1" applyFill="1" applyAlignment="1"/>
    <xf numFmtId="0" fontId="13" fillId="2" borderId="0" xfId="0" applyFont="1" applyFill="1" applyAlignment="1" applyProtection="1">
      <protection locked="0"/>
    </xf>
    <xf numFmtId="14" fontId="13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/>
    <xf numFmtId="14" fontId="13" fillId="2" borderId="0" xfId="0" applyNumberFormat="1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 textRotation="90" wrapText="1"/>
    </xf>
    <xf numFmtId="0" fontId="13" fillId="2" borderId="2" xfId="0" applyFont="1" applyFill="1" applyBorder="1" applyAlignment="1">
      <alignment horizontal="center" vertical="center" textRotation="90"/>
    </xf>
    <xf numFmtId="0" fontId="18" fillId="2" borderId="2" xfId="0" applyFont="1" applyFill="1" applyBorder="1" applyAlignment="1">
      <alignment horizontal="center" vertical="center" textRotation="90" wrapText="1"/>
    </xf>
    <xf numFmtId="0" fontId="20" fillId="2" borderId="15" xfId="0" applyNumberFormat="1" applyFont="1" applyFill="1" applyBorder="1" applyAlignment="1" applyProtection="1">
      <alignment horizontal="left"/>
      <protection locked="0"/>
    </xf>
    <xf numFmtId="177" fontId="13" fillId="2" borderId="15" xfId="0" applyNumberFormat="1" applyFont="1" applyFill="1" applyBorder="1" applyAlignment="1" applyProtection="1">
      <alignment horizontal="right" vertical="center"/>
      <protection locked="0"/>
    </xf>
    <xf numFmtId="1" fontId="13" fillId="2" borderId="15" xfId="0" applyNumberFormat="1" applyFont="1" applyFill="1" applyBorder="1" applyAlignment="1" applyProtection="1">
      <alignment horizontal="center" vertical="center"/>
      <protection locked="0"/>
    </xf>
    <xf numFmtId="9" fontId="13" fillId="2" borderId="15" xfId="2" applyFont="1" applyFill="1" applyBorder="1" applyAlignment="1" applyProtection="1">
      <alignment horizontal="center" vertical="center"/>
      <protection locked="0"/>
    </xf>
    <xf numFmtId="0" fontId="13" fillId="2" borderId="14" xfId="0" applyNumberFormat="1" applyFont="1" applyFill="1" applyBorder="1" applyAlignment="1" applyProtection="1">
      <alignment horizontal="left" vertical="center"/>
      <protection locked="0"/>
    </xf>
    <xf numFmtId="177" fontId="13" fillId="2" borderId="14" xfId="0" applyNumberFormat="1" applyFont="1" applyFill="1" applyBorder="1" applyAlignment="1" applyProtection="1">
      <alignment horizontal="right" vertical="center"/>
      <protection locked="0"/>
    </xf>
    <xf numFmtId="1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NumberFormat="1" applyFont="1" applyFill="1" applyBorder="1" applyAlignment="1" applyProtection="1">
      <alignment horizontal="left"/>
      <protection locked="0"/>
    </xf>
    <xf numFmtId="0" fontId="22" fillId="2" borderId="14" xfId="0" applyFont="1" applyFill="1" applyBorder="1" applyAlignment="1" applyProtection="1">
      <alignment vertical="center" wrapText="1"/>
      <protection locked="0"/>
    </xf>
    <xf numFmtId="9" fontId="13" fillId="2" borderId="14" xfId="2" applyFont="1" applyFill="1" applyBorder="1" applyAlignment="1" applyProtection="1">
      <alignment horizontal="center" vertical="center"/>
      <protection locked="0"/>
    </xf>
    <xf numFmtId="0" fontId="23" fillId="3" borderId="0" xfId="0" applyNumberFormat="1" applyFont="1" applyFill="1" applyAlignment="1" applyProtection="1">
      <alignment horizontal="right"/>
      <protection locked="0"/>
    </xf>
    <xf numFmtId="0" fontId="13" fillId="3" borderId="0" xfId="0" applyFont="1" applyFill="1" applyAlignment="1"/>
    <xf numFmtId="0" fontId="25" fillId="2" borderId="0" xfId="0" applyFont="1" applyFill="1" applyAlignment="1">
      <alignment horizontal="right" vertical="center"/>
    </xf>
    <xf numFmtId="0" fontId="13" fillId="2" borderId="0" xfId="0" applyFont="1" applyFill="1" applyAlignment="1" applyProtection="1">
      <alignment horizontal="center"/>
      <protection locked="0"/>
    </xf>
    <xf numFmtId="14" fontId="26" fillId="2" borderId="0" xfId="0" applyNumberFormat="1" applyFont="1" applyFill="1" applyAlignment="1"/>
    <xf numFmtId="14" fontId="19" fillId="2" borderId="0" xfId="0" applyNumberFormat="1" applyFont="1" applyFill="1" applyAlignment="1"/>
    <xf numFmtId="0" fontId="18" fillId="2" borderId="2" xfId="0" applyFont="1" applyFill="1" applyBorder="1" applyAlignment="1">
      <alignment horizontal="center" vertical="center" textRotation="90"/>
    </xf>
    <xf numFmtId="1" fontId="13" fillId="2" borderId="15" xfId="2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protection locked="0"/>
    </xf>
    <xf numFmtId="1" fontId="13" fillId="2" borderId="14" xfId="2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/>
    <xf numFmtId="0" fontId="19" fillId="2" borderId="0" xfId="0" applyFont="1" applyFill="1" applyBorder="1" applyAlignment="1"/>
    <xf numFmtId="0" fontId="13" fillId="2" borderId="0" xfId="0" applyFont="1" applyFill="1" applyBorder="1" applyAlignment="1" applyProtection="1">
      <protection locked="0"/>
    </xf>
    <xf numFmtId="0" fontId="13" fillId="2" borderId="0" xfId="0" applyFont="1" applyFill="1" applyBorder="1" applyAlignment="1" applyProtection="1">
      <alignment horizontal="left" vertical="center"/>
      <protection locked="0"/>
    </xf>
    <xf numFmtId="0" fontId="0" fillId="2" borderId="0" xfId="0" applyFill="1" applyBorder="1" applyAlignment="1"/>
    <xf numFmtId="0" fontId="17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/>
    <xf numFmtId="0" fontId="29" fillId="2" borderId="0" xfId="0" applyFont="1" applyFill="1" applyBorder="1" applyAlignment="1"/>
    <xf numFmtId="0" fontId="30" fillId="2" borderId="18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/>
    <xf numFmtId="0" fontId="30" fillId="2" borderId="2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 applyAlignment="1"/>
    <xf numFmtId="14" fontId="13" fillId="2" borderId="19" xfId="0" applyNumberFormat="1" applyFont="1" applyFill="1" applyBorder="1" applyAlignment="1"/>
    <xf numFmtId="0" fontId="22" fillId="2" borderId="14" xfId="0" applyFont="1" applyFill="1" applyBorder="1" applyAlignment="1" applyProtection="1">
      <alignment horizontal="center" vertical="center" wrapText="1"/>
      <protection locked="0"/>
    </xf>
    <xf numFmtId="0" fontId="51" fillId="2" borderId="14" xfId="0" applyFont="1" applyFill="1" applyBorder="1" applyAlignment="1" applyProtection="1">
      <alignment horizontal="center" vertical="center" wrapText="1"/>
      <protection locked="0"/>
    </xf>
    <xf numFmtId="0" fontId="22" fillId="2" borderId="15" xfId="0" applyFont="1" applyFill="1" applyBorder="1" applyAlignment="1" applyProtection="1">
      <alignment horizontal="center" vertical="center" wrapText="1"/>
      <protection locked="0"/>
    </xf>
    <xf numFmtId="0" fontId="2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31" fillId="2" borderId="14" xfId="0" applyFont="1" applyFill="1" applyBorder="1" applyAlignment="1" applyProtection="1">
      <alignment horizontal="center" vertical="center" wrapText="1"/>
      <protection locked="0"/>
    </xf>
    <xf numFmtId="0" fontId="52" fillId="2" borderId="15" xfId="0" applyFont="1" applyFill="1" applyBorder="1" applyAlignment="1" applyProtection="1">
      <alignment wrapText="1"/>
      <protection locked="0"/>
    </xf>
    <xf numFmtId="0" fontId="53" fillId="0" borderId="14" xfId="0" applyFont="1" applyFill="1" applyBorder="1" applyAlignment="1" applyProtection="1">
      <alignment horizontal="left" vertical="center" wrapText="1"/>
      <protection locked="0"/>
    </xf>
    <xf numFmtId="0" fontId="53" fillId="0" borderId="14" xfId="0" applyFont="1" applyFill="1" applyBorder="1" applyAlignment="1" applyProtection="1">
      <alignment horizontal="left" wrapText="1" indent="1"/>
      <protection locked="0"/>
    </xf>
    <xf numFmtId="0" fontId="54" fillId="0" borderId="14" xfId="0" applyFont="1" applyFill="1" applyBorder="1" applyAlignment="1" applyProtection="1">
      <alignment horizontal="left" wrapText="1" indent="1"/>
      <protection locked="0"/>
    </xf>
    <xf numFmtId="0" fontId="53" fillId="0" borderId="14" xfId="0" applyFont="1" applyFill="1" applyBorder="1" applyAlignment="1" applyProtection="1">
      <alignment horizontal="left" wrapText="1" indent="2"/>
      <protection locked="0"/>
    </xf>
    <xf numFmtId="0" fontId="54" fillId="0" borderId="14" xfId="0" applyFont="1" applyFill="1" applyBorder="1" applyAlignment="1" applyProtection="1">
      <alignment horizontal="left" wrapText="1" indent="2"/>
      <protection locked="0"/>
    </xf>
    <xf numFmtId="0" fontId="50" fillId="2" borderId="19" xfId="0" applyFont="1" applyFill="1" applyBorder="1" applyAlignment="1"/>
    <xf numFmtId="0" fontId="58" fillId="2" borderId="0" xfId="0" applyFont="1" applyFill="1" applyBorder="1" applyAlignment="1">
      <alignment horizontal="center" vertical="center"/>
    </xf>
    <xf numFmtId="0" fontId="18" fillId="2" borderId="14" xfId="0" applyFont="1" applyFill="1" applyBorder="1" applyAlignment="1" applyProtection="1">
      <alignment horizontal="center" vertical="center" wrapText="1"/>
      <protection locked="0"/>
    </xf>
    <xf numFmtId="177" fontId="18" fillId="2" borderId="14" xfId="0" applyNumberFormat="1" applyFont="1" applyFill="1" applyBorder="1" applyAlignment="1" applyProtection="1">
      <alignment horizontal="center" vertical="center"/>
      <protection locked="0"/>
    </xf>
    <xf numFmtId="0" fontId="18" fillId="22" borderId="14" xfId="0" applyFont="1" applyFill="1" applyBorder="1" applyAlignment="1" applyProtection="1">
      <alignment horizontal="left" wrapText="1" indent="1"/>
      <protection locked="0"/>
    </xf>
    <xf numFmtId="0" fontId="54" fillId="22" borderId="14" xfId="0" applyFont="1" applyFill="1" applyBorder="1" applyAlignment="1" applyProtection="1">
      <alignment horizontal="left" wrapText="1" indent="1"/>
      <protection locked="0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1" fillId="2" borderId="20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/>
    </xf>
    <xf numFmtId="0" fontId="13" fillId="2" borderId="21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178" fontId="13" fillId="2" borderId="16" xfId="0" applyNumberFormat="1" applyFont="1" applyFill="1" applyBorder="1" applyAlignment="1">
      <alignment horizontal="center" vertical="center" textRotation="90"/>
    </xf>
    <xf numFmtId="178" fontId="13" fillId="2" borderId="2" xfId="0" applyNumberFormat="1" applyFont="1" applyFill="1" applyBorder="1" applyAlignment="1">
      <alignment horizontal="center" vertical="center" textRotation="90"/>
    </xf>
    <xf numFmtId="178" fontId="13" fillId="2" borderId="17" xfId="0" applyNumberFormat="1" applyFont="1" applyFill="1" applyBorder="1" applyAlignment="1">
      <alignment horizontal="center" vertical="center" textRotation="90"/>
    </xf>
    <xf numFmtId="14" fontId="13" fillId="2" borderId="10" xfId="0" applyNumberFormat="1" applyFont="1" applyFill="1" applyBorder="1" applyAlignment="1" applyProtection="1">
      <alignment horizontal="left"/>
      <protection locked="0"/>
    </xf>
    <xf numFmtId="0" fontId="13" fillId="3" borderId="0" xfId="0" applyFont="1" applyFill="1" applyAlignment="1">
      <alignment horizontal="right" vertical="center"/>
    </xf>
    <xf numFmtId="0" fontId="24" fillId="2" borderId="0" xfId="34" applyFont="1" applyFill="1" applyAlignment="1" applyProtection="1">
      <alignment horizontal="right" vertical="center"/>
    </xf>
    <xf numFmtId="14" fontId="13" fillId="2" borderId="2" xfId="0" applyNumberFormat="1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left"/>
      <protection locked="0"/>
    </xf>
    <xf numFmtId="0" fontId="8" fillId="3" borderId="13" xfId="0" applyFont="1" applyFill="1" applyBorder="1" applyAlignment="1"/>
    <xf numFmtId="0" fontId="0" fillId="0" borderId="13" xfId="0" applyBorder="1" applyAlignment="1"/>
    <xf numFmtId="0" fontId="6" fillId="0" borderId="1" xfId="0" applyFont="1" applyFill="1" applyBorder="1" applyAlignment="1">
      <alignment horizontal="left" indent="4"/>
    </xf>
    <xf numFmtId="0" fontId="6" fillId="0" borderId="1" xfId="0" applyFont="1" applyFill="1" applyBorder="1" applyAlignment="1">
      <alignment horizontal="left" indent="1"/>
    </xf>
    <xf numFmtId="0" fontId="5" fillId="4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0" fillId="4" borderId="1" xfId="0" applyFill="1" applyBorder="1" applyAlignment="1"/>
    <xf numFmtId="0" fontId="5" fillId="4" borderId="9" xfId="0" applyFont="1" applyFill="1" applyBorder="1" applyAlignment="1">
      <alignment horizontal="left" indent="1"/>
    </xf>
    <xf numFmtId="0" fontId="0" fillId="0" borderId="10" xfId="0" applyBorder="1" applyAlignment="1"/>
    <xf numFmtId="0" fontId="0" fillId="0" borderId="11" xfId="0" applyBorder="1" applyAlignment="1"/>
    <xf numFmtId="0" fontId="0" fillId="0" borderId="10" xfId="0" applyBorder="1" applyAlignment="1">
      <alignment horizontal="left" indent="1"/>
    </xf>
    <xf numFmtId="0" fontId="9" fillId="3" borderId="9" xfId="0" applyFont="1" applyFill="1" applyBorder="1" applyAlignment="1"/>
    <xf numFmtId="0" fontId="8" fillId="3" borderId="3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0" borderId="0" xfId="0" applyAlignment="1"/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4" xfId="0" applyFont="1" applyFill="1" applyBorder="1" applyAlignment="1"/>
    <xf numFmtId="0" fontId="7" fillId="0" borderId="5" xfId="0" applyFont="1" applyBorder="1" applyAlignment="1"/>
    <xf numFmtId="176" fontId="10" fillId="0" borderId="1" xfId="0" applyNumberFormat="1" applyFont="1" applyFill="1" applyBorder="1" applyAlignment="1">
      <alignment horizontal="left"/>
    </xf>
    <xf numFmtId="176" fontId="6" fillId="0" borderId="1" xfId="0" applyNumberFormat="1" applyFont="1" applyBorder="1" applyAlignment="1">
      <alignment horizontal="left"/>
    </xf>
    <xf numFmtId="0" fontId="6" fillId="0" borderId="1" xfId="0" applyFont="1" applyBorder="1" applyAlignment="1"/>
    <xf numFmtId="0" fontId="8" fillId="3" borderId="3" xfId="0" applyFont="1" applyFill="1" applyBorder="1" applyAlignment="1">
      <alignment horizontal="center" vertical="top" wrapText="1"/>
    </xf>
    <xf numFmtId="0" fontId="9" fillId="3" borderId="6" xfId="0" applyFont="1" applyFill="1" applyBorder="1" applyAlignment="1"/>
    <xf numFmtId="0" fontId="0" fillId="0" borderId="2" xfId="0" applyBorder="1" applyAlignment="1"/>
    <xf numFmtId="0" fontId="5" fillId="4" borderId="9" xfId="0" applyFont="1" applyFill="1" applyBorder="1" applyAlignment="1">
      <alignment horizontal="left" indent="2"/>
    </xf>
    <xf numFmtId="0" fontId="0" fillId="0" borderId="11" xfId="0" applyBorder="1" applyAlignment="1">
      <alignment horizontal="left" indent="1"/>
    </xf>
    <xf numFmtId="0" fontId="6" fillId="0" borderId="1" xfId="0" applyFont="1" applyFill="1" applyBorder="1" applyAlignment="1">
      <alignment horizontal="left" indent="3"/>
    </xf>
    <xf numFmtId="0" fontId="0" fillId="4" borderId="7" xfId="0" applyFill="1" applyBorder="1" applyAlignment="1"/>
    <xf numFmtId="0" fontId="0" fillId="4" borderId="8" xfId="0" applyFill="1" applyBorder="1" applyAlignment="1"/>
    <xf numFmtId="0" fontId="0" fillId="4" borderId="12" xfId="0" applyFill="1" applyBorder="1" applyAlignment="1"/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7" fillId="0" borderId="1" xfId="0" applyFont="1" applyBorder="1" applyAlignment="1"/>
    <xf numFmtId="0" fontId="0" fillId="0" borderId="1" xfId="0" applyBorder="1" applyAlignment="1"/>
    <xf numFmtId="0" fontId="5" fillId="4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0" fillId="0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54" fillId="23" borderId="14" xfId="0" applyFont="1" applyFill="1" applyBorder="1" applyAlignment="1" applyProtection="1">
      <alignment horizontal="left" wrapText="1" indent="2"/>
      <protection locked="0"/>
    </xf>
    <xf numFmtId="0" fontId="13" fillId="23" borderId="0" xfId="0" applyFont="1" applyFill="1" applyAlignment="1"/>
    <xf numFmtId="0" fontId="18" fillId="23" borderId="0" xfId="0" applyFont="1" applyFill="1" applyAlignment="1"/>
    <xf numFmtId="0" fontId="54" fillId="24" borderId="14" xfId="0" applyFont="1" applyFill="1" applyBorder="1" applyAlignment="1" applyProtection="1">
      <alignment horizontal="left" wrapText="1" indent="2"/>
      <protection locked="0"/>
    </xf>
    <xf numFmtId="0" fontId="18" fillId="24" borderId="0" xfId="0" applyFont="1" applyFill="1" applyAlignment="1"/>
    <xf numFmtId="0" fontId="13" fillId="24" borderId="0" xfId="0" applyFont="1" applyFill="1" applyAlignment="1"/>
  </cellXfs>
  <cellStyles count="45">
    <cellStyle name="20% - 强调文字颜色 1" xfId="5"/>
    <cellStyle name="20% - 强调文字颜色 2" xfId="3"/>
    <cellStyle name="20% - 强调文字颜色 3" xfId="7"/>
    <cellStyle name="20% - 强调文字颜色 4" xfId="8"/>
    <cellStyle name="20% - 强调文字颜色 5" xfId="10"/>
    <cellStyle name="20% - 强调文字颜色 6" xfId="13"/>
    <cellStyle name="40% - 强调文字颜色 1" xfId="14"/>
    <cellStyle name="40% - 强调文字颜色 2" xfId="15"/>
    <cellStyle name="40% - 强调文字颜色 3" xfId="17"/>
    <cellStyle name="40% - 强调文字颜色 4" xfId="19"/>
    <cellStyle name="40% - 强调文字颜色 5" xfId="20"/>
    <cellStyle name="40% - 强调文字颜色 6" xfId="21"/>
    <cellStyle name="60% - 强调文字颜色 1" xfId="23"/>
    <cellStyle name="60% - 强调文字颜色 2" xfId="26"/>
    <cellStyle name="60% - 强调文字颜色 3" xfId="27"/>
    <cellStyle name="60% - 强调文字颜色 4" xfId="29"/>
    <cellStyle name="60% - 强调文字颜色 5" xfId="30"/>
    <cellStyle name="60% - 强调文字颜色 6" xfId="31"/>
    <cellStyle name="Normal 2" xfId="18"/>
    <cellStyle name="百分比" xfId="2" builtinId="5"/>
    <cellStyle name="标题" xfId="4"/>
    <cellStyle name="标题 1" xfId="32"/>
    <cellStyle name="标题 2" xfId="33"/>
    <cellStyle name="标题 3" xfId="22"/>
    <cellStyle name="标题 4" xfId="25"/>
    <cellStyle name="差" xfId="16"/>
    <cellStyle name="常规" xfId="0" builtinId="0"/>
    <cellStyle name="超链接" xfId="34" builtinId="8"/>
    <cellStyle name="好" xfId="35"/>
    <cellStyle name="汇总" xfId="36"/>
    <cellStyle name="计算" xfId="37"/>
    <cellStyle name="检查单元格" xfId="38"/>
    <cellStyle name="解释性文本" xfId="39"/>
    <cellStyle name="警告文本" xfId="24"/>
    <cellStyle name="链接单元格" xfId="12"/>
    <cellStyle name="强调文字颜色 1" xfId="9"/>
    <cellStyle name="强调文字颜色 2" xfId="11"/>
    <cellStyle name="强调文字颜色 3" xfId="40"/>
    <cellStyle name="强调文字颜色 4" xfId="1"/>
    <cellStyle name="强调文字颜色 5" xfId="41"/>
    <cellStyle name="强调文字颜色 6" xfId="42"/>
    <cellStyle name="适中" xfId="43"/>
    <cellStyle name="输出" xfId="28"/>
    <cellStyle name="输入" xfId="6"/>
    <cellStyle name="注释" xfId="44"/>
  </cellStyles>
  <dxfs count="99"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63"/>
        </patternFill>
      </fill>
    </dxf>
    <dxf>
      <fill>
        <patternFill>
          <fgColor indexed="10"/>
          <bgColor indexed="4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FFFF"/>
      <rgbColor rgb="00CCFFCC"/>
      <rgbColor rgb="00FFFFD7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993366"/>
      <rgbColor rgb="00333399"/>
      <rgbColor rgb="005F5F5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.DATAS\DocTemplate\Project_Templat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Data"/>
      <sheetName val="Minicharter"/>
      <sheetName val="Stoplight"/>
      <sheetName val="Budget"/>
      <sheetName val="CBA"/>
      <sheetName val="Risks"/>
      <sheetName val="Issues"/>
      <sheetName val="Action"/>
      <sheetName val="Miles"/>
      <sheetName val="WBS"/>
      <sheetName val="Roster"/>
      <sheetName val="R&amp;R"/>
      <sheetName val="RAM"/>
      <sheetName val="RCM"/>
      <sheetName val="A&amp;C"/>
      <sheetName val="Decision"/>
      <sheetName val="Comm"/>
      <sheetName val="Stake"/>
      <sheetName val="Expectations"/>
      <sheetName val="Chg Log"/>
      <sheetName val="Deliver"/>
      <sheetName val="PERT"/>
      <sheetName val="Delphi"/>
      <sheetName val="TimeSum"/>
      <sheetName val="Timesheet"/>
      <sheetName val="Size Est"/>
      <sheetName val="Res Load"/>
      <sheetName val="Qual Metrics"/>
    </sheetNames>
    <sheetDataSet>
      <sheetData sheetId="0"/>
      <sheetData sheetId="1">
        <row r="1">
          <cell r="B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B5" t="str">
            <v/>
          </cell>
        </row>
        <row r="6">
          <cell r="B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vertex42.com/ExcelTemplates/excel-gantt-ch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I5" sqref="I5"/>
    </sheetView>
  </sheetViews>
  <sheetFormatPr defaultColWidth="9.140625" defaultRowHeight="12.75"/>
  <cols>
    <col min="1" max="1" width="5.7109375" style="83" customWidth="1"/>
    <col min="2" max="4" width="13.5703125" style="83" customWidth="1"/>
    <col min="5" max="5" width="53.28515625" style="83" customWidth="1"/>
    <col min="6" max="6" width="16" style="83" customWidth="1"/>
    <col min="7" max="7" width="13.5703125" style="83" customWidth="1"/>
    <col min="8" max="16384" width="9.140625" style="83"/>
  </cols>
  <sheetData>
    <row r="1" spans="1:8" ht="182.25" customHeight="1">
      <c r="C1" s="84" t="s">
        <v>0</v>
      </c>
      <c r="D1" s="85"/>
      <c r="E1" s="112" t="s">
        <v>165</v>
      </c>
    </row>
    <row r="2" spans="1:8" ht="23.25" customHeight="1">
      <c r="F2" s="86"/>
      <c r="G2" s="87"/>
    </row>
    <row r="3" spans="1:8">
      <c r="B3" s="88" t="s">
        <v>1</v>
      </c>
    </row>
    <row r="4" spans="1:8" ht="14.25">
      <c r="B4" s="89" t="s">
        <v>2</v>
      </c>
      <c r="C4" s="97">
        <v>42103</v>
      </c>
      <c r="D4" s="90" t="s">
        <v>3</v>
      </c>
      <c r="E4" s="91"/>
      <c r="F4" s="36"/>
      <c r="G4" s="36"/>
      <c r="H4" s="36"/>
    </row>
    <row r="5" spans="1:8" ht="14.25">
      <c r="B5" s="92" t="s">
        <v>4</v>
      </c>
      <c r="C5" s="93"/>
      <c r="D5" s="94" t="s">
        <v>5</v>
      </c>
      <c r="E5" s="91" t="s">
        <v>6</v>
      </c>
      <c r="F5" s="36"/>
      <c r="G5" s="36"/>
      <c r="H5" s="36"/>
    </row>
    <row r="6" spans="1:8" ht="14.25">
      <c r="C6" s="36"/>
      <c r="D6" s="36"/>
      <c r="E6" s="36"/>
      <c r="G6" s="36"/>
      <c r="H6" s="36"/>
    </row>
    <row r="7" spans="1:8" ht="14.25">
      <c r="A7" s="88" t="s">
        <v>7</v>
      </c>
      <c r="B7" s="36"/>
      <c r="C7" s="36"/>
      <c r="D7" s="36"/>
      <c r="E7" s="36"/>
      <c r="F7" s="36"/>
      <c r="H7" s="36"/>
    </row>
    <row r="8" spans="1:8" ht="14.25">
      <c r="A8" s="95" t="s">
        <v>8</v>
      </c>
      <c r="B8" s="90" t="s">
        <v>9</v>
      </c>
      <c r="C8" s="120" t="s">
        <v>10</v>
      </c>
      <c r="D8" s="121"/>
      <c r="E8" s="122"/>
      <c r="F8" s="90" t="s">
        <v>11</v>
      </c>
      <c r="H8" s="36"/>
    </row>
    <row r="9" spans="1:8" ht="15.75">
      <c r="A9" s="96">
        <v>1</v>
      </c>
      <c r="B9" s="97">
        <v>42103</v>
      </c>
      <c r="C9" s="123" t="s">
        <v>98</v>
      </c>
      <c r="D9" s="124"/>
      <c r="E9" s="125"/>
      <c r="F9" s="91" t="s">
        <v>164</v>
      </c>
      <c r="H9" s="36"/>
    </row>
    <row r="10" spans="1:8" ht="14.25" customHeight="1">
      <c r="A10" s="96">
        <v>2</v>
      </c>
      <c r="B10" s="97">
        <v>42104</v>
      </c>
      <c r="C10" s="123" t="s">
        <v>163</v>
      </c>
      <c r="D10" s="124"/>
      <c r="E10" s="125"/>
      <c r="F10" s="111" t="s">
        <v>6</v>
      </c>
    </row>
    <row r="11" spans="1:8">
      <c r="A11" s="96"/>
      <c r="B11" s="96"/>
      <c r="C11" s="117"/>
      <c r="D11" s="118"/>
      <c r="E11" s="119"/>
      <c r="F11" s="96"/>
    </row>
    <row r="12" spans="1:8">
      <c r="A12" s="96"/>
      <c r="B12" s="96"/>
      <c r="C12" s="117"/>
      <c r="D12" s="118"/>
      <c r="E12" s="119"/>
      <c r="F12" s="96"/>
    </row>
    <row r="13" spans="1:8">
      <c r="A13" s="96"/>
      <c r="B13" s="96"/>
      <c r="C13" s="117"/>
      <c r="D13" s="118"/>
      <c r="E13" s="119"/>
      <c r="F13" s="96"/>
    </row>
    <row r="14" spans="1:8">
      <c r="A14" s="96"/>
      <c r="B14" s="96"/>
      <c r="C14" s="117"/>
      <c r="D14" s="118"/>
      <c r="E14" s="119"/>
      <c r="F14" s="96"/>
    </row>
    <row r="15" spans="1:8">
      <c r="A15" s="96"/>
      <c r="B15" s="96"/>
      <c r="C15" s="117"/>
      <c r="D15" s="118"/>
      <c r="E15" s="119"/>
      <c r="F15" s="96"/>
    </row>
  </sheetData>
  <mergeCells count="8">
    <mergeCell ref="C13:E13"/>
    <mergeCell ref="C14:E14"/>
    <mergeCell ref="C15:E15"/>
    <mergeCell ref="C8:E8"/>
    <mergeCell ref="C9:E9"/>
    <mergeCell ref="C10:E10"/>
    <mergeCell ref="C11:E11"/>
    <mergeCell ref="C12:E12"/>
  </mergeCells>
  <phoneticPr fontId="7" type="noConversion"/>
  <pageMargins left="0.69930555555555596" right="0.69930555555555596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298"/>
  <sheetViews>
    <sheetView showGridLines="0" tabSelected="1" topLeftCell="A4" workbookViewId="0">
      <pane xSplit="3" ySplit="7" topLeftCell="D216" activePane="bottomRight" state="frozen"/>
      <selection activeCell="A4" sqref="A4"/>
      <selection pane="topRight" activeCell="D4" sqref="D4"/>
      <selection pane="bottomLeft" activeCell="A11" sqref="A11"/>
      <selection pane="bottomRight" activeCell="B262" sqref="B262"/>
    </sheetView>
  </sheetViews>
  <sheetFormatPr defaultColWidth="9.140625" defaultRowHeight="14.25"/>
  <cols>
    <col min="1" max="1" width="11" style="36" customWidth="1"/>
    <col min="2" max="2" width="55.85546875" style="31" customWidth="1"/>
    <col min="3" max="3" width="21.42578125" style="37" customWidth="1"/>
    <col min="4" max="4" width="11.7109375" style="38" customWidth="1"/>
    <col min="5" max="5" width="12.28515625" style="38" customWidth="1"/>
    <col min="6" max="10" width="6.42578125" style="39" customWidth="1"/>
    <col min="11" max="11" width="6.42578125" style="31" customWidth="1"/>
    <col min="12" max="46" width="2.85546875" style="31" customWidth="1"/>
    <col min="47" max="123" width="1" style="31" customWidth="1"/>
    <col min="124" max="227" width="0.5703125" style="31" customWidth="1"/>
    <col min="228" max="249" width="0.5703125" style="36" customWidth="1"/>
    <col min="250" max="16384" width="9.140625" style="36"/>
  </cols>
  <sheetData>
    <row r="1" spans="1:256" s="31" customFormat="1" ht="35.25" customHeight="1">
      <c r="A1" s="40" t="s">
        <v>12</v>
      </c>
      <c r="B1" s="41"/>
      <c r="C1" s="42" t="s">
        <v>13</v>
      </c>
      <c r="D1" s="43"/>
      <c r="E1" s="44"/>
      <c r="F1" s="41"/>
      <c r="G1" s="130"/>
      <c r="H1" s="130"/>
      <c r="I1" s="130"/>
      <c r="J1" s="130"/>
      <c r="K1" s="69">
        <v>0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  <c r="FI1" s="79"/>
      <c r="FJ1" s="79"/>
      <c r="FK1" s="79"/>
      <c r="FL1" s="79"/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  <c r="HL1" s="79"/>
      <c r="HM1" s="79"/>
      <c r="HN1" s="79"/>
      <c r="HO1" s="79"/>
      <c r="HP1" s="79"/>
      <c r="HQ1" s="79"/>
      <c r="HR1" s="79"/>
      <c r="HS1" s="79"/>
      <c r="HT1" s="79"/>
      <c r="HU1" s="79"/>
      <c r="HV1" s="79"/>
      <c r="HW1" s="79"/>
      <c r="HX1" s="79"/>
      <c r="HY1" s="79"/>
      <c r="HZ1" s="79"/>
      <c r="IA1" s="79"/>
      <c r="IB1" s="79"/>
      <c r="IC1" s="79"/>
      <c r="ID1" s="79"/>
      <c r="IE1" s="79"/>
      <c r="IF1" s="79"/>
      <c r="IG1" s="79"/>
      <c r="IH1" s="79"/>
      <c r="II1" s="79"/>
      <c r="IJ1" s="79"/>
      <c r="IK1" s="79"/>
      <c r="IL1" s="79"/>
      <c r="IM1" s="79"/>
      <c r="IN1" s="79"/>
      <c r="IO1" s="79"/>
    </row>
    <row r="2" spans="1:256">
      <c r="B2" s="36"/>
      <c r="C2" s="45"/>
      <c r="D2" s="46"/>
      <c r="E2" s="46"/>
      <c r="F2" s="47"/>
      <c r="G2" s="47"/>
      <c r="H2" s="47"/>
      <c r="I2" s="131"/>
      <c r="J2" s="131"/>
    </row>
    <row r="3" spans="1:256" ht="15">
      <c r="A3" s="48" t="s">
        <v>14</v>
      </c>
      <c r="B3" s="49" t="str">
        <f>项目!E1</f>
        <v>观陵山平台</v>
      </c>
      <c r="AL3" s="31" t="s">
        <v>15</v>
      </c>
    </row>
    <row r="4" spans="1:256">
      <c r="A4" s="50"/>
      <c r="G4" s="38" t="s">
        <v>16</v>
      </c>
      <c r="H4" s="132">
        <v>42104</v>
      </c>
      <c r="I4" s="132"/>
      <c r="J4" s="132"/>
      <c r="K4" s="31" t="str">
        <f>TEXT(H4,"dddd")</f>
        <v>Friday</v>
      </c>
    </row>
    <row r="5" spans="1:256">
      <c r="H5" s="51" t="s">
        <v>17</v>
      </c>
    </row>
    <row r="6" spans="1:256">
      <c r="B6" s="52" t="s">
        <v>18</v>
      </c>
      <c r="C6" s="133" t="s">
        <v>6</v>
      </c>
      <c r="D6" s="133"/>
      <c r="E6" s="133"/>
      <c r="IQ6" s="53" t="s">
        <v>19</v>
      </c>
    </row>
    <row r="7" spans="1:256">
      <c r="B7" s="52" t="s">
        <v>20</v>
      </c>
      <c r="C7" s="129">
        <v>42104</v>
      </c>
      <c r="D7" s="129"/>
      <c r="E7" s="38" t="str">
        <f>TEXT(C7,"dddd")</f>
        <v>Friday</v>
      </c>
    </row>
    <row r="8" spans="1:256">
      <c r="B8" s="52" t="s">
        <v>21</v>
      </c>
      <c r="C8" s="129">
        <v>42154</v>
      </c>
      <c r="D8" s="129"/>
      <c r="E8" s="38" t="str">
        <f>TEXT(C8,"dddd")</f>
        <v>Saturday</v>
      </c>
    </row>
    <row r="9" spans="1:256" s="31" customFormat="1">
      <c r="A9" s="53" t="s">
        <v>19</v>
      </c>
      <c r="C9" s="37"/>
      <c r="D9" s="38"/>
      <c r="E9" s="38"/>
      <c r="F9" s="54"/>
      <c r="G9" s="39"/>
      <c r="H9" s="39"/>
      <c r="I9" s="39"/>
      <c r="J9" s="71" t="s">
        <v>22</v>
      </c>
      <c r="K9" s="72">
        <v>2</v>
      </c>
      <c r="L9" s="73">
        <f>(C7-WEEKDAY(C7,1)+K9)+7*K1</f>
        <v>42100</v>
      </c>
      <c r="M9" s="74">
        <f>L9+1</f>
        <v>42101</v>
      </c>
      <c r="N9" s="74">
        <f t="shared" ref="N9:AS9" si="0">M9+1</f>
        <v>42102</v>
      </c>
      <c r="O9" s="74">
        <f t="shared" si="0"/>
        <v>42103</v>
      </c>
      <c r="P9" s="74">
        <f t="shared" si="0"/>
        <v>42104</v>
      </c>
      <c r="Q9" s="74">
        <f t="shared" si="0"/>
        <v>42105</v>
      </c>
      <c r="R9" s="74">
        <f t="shared" si="0"/>
        <v>42106</v>
      </c>
      <c r="S9" s="74">
        <f t="shared" si="0"/>
        <v>42107</v>
      </c>
      <c r="T9" s="74">
        <f t="shared" si="0"/>
        <v>42108</v>
      </c>
      <c r="U9" s="74">
        <f t="shared" si="0"/>
        <v>42109</v>
      </c>
      <c r="V9" s="74">
        <f t="shared" si="0"/>
        <v>42110</v>
      </c>
      <c r="W9" s="74">
        <f t="shared" si="0"/>
        <v>42111</v>
      </c>
      <c r="X9" s="74">
        <f t="shared" si="0"/>
        <v>42112</v>
      </c>
      <c r="Y9" s="74">
        <f t="shared" si="0"/>
        <v>42113</v>
      </c>
      <c r="Z9" s="74">
        <f t="shared" si="0"/>
        <v>42114</v>
      </c>
      <c r="AA9" s="74">
        <f t="shared" si="0"/>
        <v>42115</v>
      </c>
      <c r="AB9" s="74">
        <f t="shared" si="0"/>
        <v>42116</v>
      </c>
      <c r="AC9" s="74">
        <f t="shared" si="0"/>
        <v>42117</v>
      </c>
      <c r="AD9" s="74">
        <f t="shared" si="0"/>
        <v>42118</v>
      </c>
      <c r="AE9" s="74">
        <f t="shared" si="0"/>
        <v>42119</v>
      </c>
      <c r="AF9" s="74">
        <f t="shared" si="0"/>
        <v>42120</v>
      </c>
      <c r="AG9" s="74">
        <f t="shared" si="0"/>
        <v>42121</v>
      </c>
      <c r="AH9" s="74">
        <f t="shared" si="0"/>
        <v>42122</v>
      </c>
      <c r="AI9" s="74">
        <f t="shared" si="0"/>
        <v>42123</v>
      </c>
      <c r="AJ9" s="74">
        <f t="shared" si="0"/>
        <v>42124</v>
      </c>
      <c r="AK9" s="74">
        <f t="shared" si="0"/>
        <v>42125</v>
      </c>
      <c r="AL9" s="74">
        <f t="shared" si="0"/>
        <v>42126</v>
      </c>
      <c r="AM9" s="74">
        <f t="shared" si="0"/>
        <v>42127</v>
      </c>
      <c r="AN9" s="74">
        <f t="shared" si="0"/>
        <v>42128</v>
      </c>
      <c r="AO9" s="74">
        <f t="shared" si="0"/>
        <v>42129</v>
      </c>
      <c r="AP9" s="74">
        <f t="shared" si="0"/>
        <v>42130</v>
      </c>
      <c r="AQ9" s="74">
        <f t="shared" si="0"/>
        <v>42131</v>
      </c>
      <c r="AR9" s="74">
        <f t="shared" si="0"/>
        <v>42132</v>
      </c>
      <c r="AS9" s="74">
        <f t="shared" si="0"/>
        <v>42133</v>
      </c>
      <c r="AT9" s="74">
        <f t="shared" ref="AT9:BX9" si="1">AS9+1</f>
        <v>42134</v>
      </c>
      <c r="AU9" s="74">
        <f t="shared" si="1"/>
        <v>42135</v>
      </c>
      <c r="AV9" s="74">
        <f t="shared" si="1"/>
        <v>42136</v>
      </c>
      <c r="AW9" s="74">
        <f t="shared" si="1"/>
        <v>42137</v>
      </c>
      <c r="AX9" s="74">
        <f t="shared" si="1"/>
        <v>42138</v>
      </c>
      <c r="AY9" s="74">
        <f t="shared" si="1"/>
        <v>42139</v>
      </c>
      <c r="AZ9" s="74">
        <f t="shared" si="1"/>
        <v>42140</v>
      </c>
      <c r="BA9" s="74">
        <f t="shared" si="1"/>
        <v>42141</v>
      </c>
      <c r="BB9" s="74">
        <f t="shared" si="1"/>
        <v>42142</v>
      </c>
      <c r="BC9" s="74">
        <f t="shared" si="1"/>
        <v>42143</v>
      </c>
      <c r="BD9" s="74">
        <f t="shared" si="1"/>
        <v>42144</v>
      </c>
      <c r="BE9" s="74">
        <f t="shared" si="1"/>
        <v>42145</v>
      </c>
      <c r="BF9" s="74">
        <f t="shared" si="1"/>
        <v>42146</v>
      </c>
      <c r="BG9" s="74">
        <f t="shared" si="1"/>
        <v>42147</v>
      </c>
      <c r="BH9" s="74">
        <f t="shared" si="1"/>
        <v>42148</v>
      </c>
      <c r="BI9" s="74">
        <f t="shared" si="1"/>
        <v>42149</v>
      </c>
      <c r="BJ9" s="74">
        <f t="shared" si="1"/>
        <v>42150</v>
      </c>
      <c r="BK9" s="74">
        <f t="shared" si="1"/>
        <v>42151</v>
      </c>
      <c r="BL9" s="74">
        <f t="shared" si="1"/>
        <v>42152</v>
      </c>
      <c r="BM9" s="74">
        <f t="shared" si="1"/>
        <v>42153</v>
      </c>
      <c r="BN9" s="74">
        <f t="shared" si="1"/>
        <v>42154</v>
      </c>
      <c r="BO9" s="74">
        <f t="shared" si="1"/>
        <v>42155</v>
      </c>
      <c r="BP9" s="74">
        <f t="shared" si="1"/>
        <v>42156</v>
      </c>
      <c r="BQ9" s="74">
        <f t="shared" si="1"/>
        <v>42157</v>
      </c>
      <c r="BR9" s="74">
        <f t="shared" si="1"/>
        <v>42158</v>
      </c>
      <c r="BS9" s="74">
        <f t="shared" si="1"/>
        <v>42159</v>
      </c>
      <c r="BT9" s="74">
        <f t="shared" si="1"/>
        <v>42160</v>
      </c>
      <c r="BU9" s="74">
        <f t="shared" si="1"/>
        <v>42161</v>
      </c>
      <c r="BV9" s="74">
        <f t="shared" si="1"/>
        <v>42162</v>
      </c>
      <c r="BW9" s="74">
        <f t="shared" si="1"/>
        <v>42163</v>
      </c>
      <c r="BX9" s="74">
        <f t="shared" si="1"/>
        <v>42164</v>
      </c>
      <c r="BY9" s="74">
        <f>BX9+1</f>
        <v>42165</v>
      </c>
      <c r="BZ9" s="74">
        <f t="shared" ref="BZ9:DE9" si="2">BY9+1</f>
        <v>42166</v>
      </c>
      <c r="CA9" s="74">
        <f t="shared" si="2"/>
        <v>42167</v>
      </c>
      <c r="CB9" s="74">
        <f t="shared" si="2"/>
        <v>42168</v>
      </c>
      <c r="CC9" s="74">
        <f t="shared" si="2"/>
        <v>42169</v>
      </c>
      <c r="CD9" s="74">
        <f t="shared" si="2"/>
        <v>42170</v>
      </c>
      <c r="CE9" s="74">
        <f t="shared" si="2"/>
        <v>42171</v>
      </c>
      <c r="CF9" s="74">
        <f t="shared" si="2"/>
        <v>42172</v>
      </c>
      <c r="CG9" s="74">
        <f t="shared" si="2"/>
        <v>42173</v>
      </c>
      <c r="CH9" s="74">
        <f t="shared" si="2"/>
        <v>42174</v>
      </c>
      <c r="CI9" s="74">
        <f t="shared" si="2"/>
        <v>42175</v>
      </c>
      <c r="CJ9" s="74">
        <f t="shared" si="2"/>
        <v>42176</v>
      </c>
      <c r="CK9" s="74">
        <f t="shared" si="2"/>
        <v>42177</v>
      </c>
      <c r="CL9" s="74">
        <f t="shared" si="2"/>
        <v>42178</v>
      </c>
      <c r="CM9" s="74">
        <f t="shared" si="2"/>
        <v>42179</v>
      </c>
      <c r="CN9" s="74">
        <f t="shared" si="2"/>
        <v>42180</v>
      </c>
      <c r="CO9" s="74">
        <f t="shared" si="2"/>
        <v>42181</v>
      </c>
      <c r="CP9" s="74">
        <f t="shared" si="2"/>
        <v>42182</v>
      </c>
      <c r="CQ9" s="74">
        <f t="shared" si="2"/>
        <v>42183</v>
      </c>
      <c r="CR9" s="74">
        <f t="shared" si="2"/>
        <v>42184</v>
      </c>
      <c r="CS9" s="74">
        <f t="shared" si="2"/>
        <v>42185</v>
      </c>
      <c r="CT9" s="74">
        <f t="shared" si="2"/>
        <v>42186</v>
      </c>
      <c r="CU9" s="74">
        <f t="shared" si="2"/>
        <v>42187</v>
      </c>
      <c r="CV9" s="74">
        <f t="shared" si="2"/>
        <v>42188</v>
      </c>
      <c r="CW9" s="74">
        <f t="shared" si="2"/>
        <v>42189</v>
      </c>
      <c r="CX9" s="74">
        <f t="shared" si="2"/>
        <v>42190</v>
      </c>
      <c r="CY9" s="74">
        <f t="shared" si="2"/>
        <v>42191</v>
      </c>
      <c r="CZ9" s="74">
        <f t="shared" si="2"/>
        <v>42192</v>
      </c>
      <c r="DA9" s="74">
        <f t="shared" si="2"/>
        <v>42193</v>
      </c>
      <c r="DB9" s="74">
        <f t="shared" si="2"/>
        <v>42194</v>
      </c>
      <c r="DC9" s="74">
        <f t="shared" si="2"/>
        <v>42195</v>
      </c>
      <c r="DD9" s="74">
        <f t="shared" si="2"/>
        <v>42196</v>
      </c>
      <c r="DE9" s="74">
        <f t="shared" si="2"/>
        <v>42197</v>
      </c>
      <c r="DF9" s="74">
        <f t="shared" ref="DF9:EJ9" si="3">DE9+1</f>
        <v>42198</v>
      </c>
      <c r="DG9" s="74">
        <f t="shared" si="3"/>
        <v>42199</v>
      </c>
      <c r="DH9" s="74">
        <f t="shared" si="3"/>
        <v>42200</v>
      </c>
      <c r="DI9" s="74">
        <f t="shared" si="3"/>
        <v>42201</v>
      </c>
      <c r="DJ9" s="74">
        <f t="shared" si="3"/>
        <v>42202</v>
      </c>
      <c r="DK9" s="74">
        <f t="shared" si="3"/>
        <v>42203</v>
      </c>
      <c r="DL9" s="74">
        <f t="shared" si="3"/>
        <v>42204</v>
      </c>
      <c r="DM9" s="74">
        <f t="shared" si="3"/>
        <v>42205</v>
      </c>
      <c r="DN9" s="74">
        <f t="shared" si="3"/>
        <v>42206</v>
      </c>
      <c r="DO9" s="74">
        <f t="shared" si="3"/>
        <v>42207</v>
      </c>
      <c r="DP9" s="74">
        <f t="shared" si="3"/>
        <v>42208</v>
      </c>
      <c r="DQ9" s="74">
        <f t="shared" si="3"/>
        <v>42209</v>
      </c>
      <c r="DR9" s="74">
        <f t="shared" si="3"/>
        <v>42210</v>
      </c>
      <c r="DS9" s="74">
        <f t="shared" si="3"/>
        <v>42211</v>
      </c>
      <c r="DT9" s="74">
        <f t="shared" si="3"/>
        <v>42212</v>
      </c>
      <c r="DU9" s="74">
        <f t="shared" si="3"/>
        <v>42213</v>
      </c>
      <c r="DV9" s="74">
        <f t="shared" si="3"/>
        <v>42214</v>
      </c>
      <c r="DW9" s="74">
        <f t="shared" si="3"/>
        <v>42215</v>
      </c>
      <c r="DX9" s="74">
        <f t="shared" si="3"/>
        <v>42216</v>
      </c>
      <c r="DY9" s="74">
        <f t="shared" si="3"/>
        <v>42217</v>
      </c>
      <c r="DZ9" s="74">
        <f t="shared" si="3"/>
        <v>42218</v>
      </c>
      <c r="EA9" s="74">
        <f t="shared" si="3"/>
        <v>42219</v>
      </c>
      <c r="EB9" s="74">
        <f t="shared" si="3"/>
        <v>42220</v>
      </c>
      <c r="EC9" s="74">
        <f t="shared" si="3"/>
        <v>42221</v>
      </c>
      <c r="ED9" s="74">
        <f t="shared" si="3"/>
        <v>42222</v>
      </c>
      <c r="EE9" s="74">
        <f t="shared" si="3"/>
        <v>42223</v>
      </c>
      <c r="EF9" s="74">
        <f t="shared" si="3"/>
        <v>42224</v>
      </c>
      <c r="EG9" s="74">
        <f t="shared" si="3"/>
        <v>42225</v>
      </c>
      <c r="EH9" s="74">
        <f t="shared" si="3"/>
        <v>42226</v>
      </c>
      <c r="EI9" s="74">
        <f t="shared" si="3"/>
        <v>42227</v>
      </c>
      <c r="EJ9" s="74">
        <f t="shared" si="3"/>
        <v>42228</v>
      </c>
      <c r="EK9" s="74">
        <f>EJ9+1</f>
        <v>42229</v>
      </c>
      <c r="EL9" s="74">
        <f t="shared" ref="EL9:FQ9" si="4">EK9+1</f>
        <v>42230</v>
      </c>
      <c r="EM9" s="74">
        <f t="shared" si="4"/>
        <v>42231</v>
      </c>
      <c r="EN9" s="74">
        <f t="shared" si="4"/>
        <v>42232</v>
      </c>
      <c r="EO9" s="74">
        <f t="shared" si="4"/>
        <v>42233</v>
      </c>
      <c r="EP9" s="74">
        <f t="shared" si="4"/>
        <v>42234</v>
      </c>
      <c r="EQ9" s="74">
        <f t="shared" si="4"/>
        <v>42235</v>
      </c>
      <c r="ER9" s="74">
        <f t="shared" si="4"/>
        <v>42236</v>
      </c>
      <c r="ES9" s="74">
        <f t="shared" si="4"/>
        <v>42237</v>
      </c>
      <c r="ET9" s="74">
        <f t="shared" si="4"/>
        <v>42238</v>
      </c>
      <c r="EU9" s="74">
        <f t="shared" si="4"/>
        <v>42239</v>
      </c>
      <c r="EV9" s="74">
        <f t="shared" si="4"/>
        <v>42240</v>
      </c>
      <c r="EW9" s="74">
        <f t="shared" si="4"/>
        <v>42241</v>
      </c>
      <c r="EX9" s="74">
        <f t="shared" si="4"/>
        <v>42242</v>
      </c>
      <c r="EY9" s="74">
        <f t="shared" si="4"/>
        <v>42243</v>
      </c>
      <c r="EZ9" s="74">
        <f t="shared" si="4"/>
        <v>42244</v>
      </c>
      <c r="FA9" s="74">
        <f t="shared" si="4"/>
        <v>42245</v>
      </c>
      <c r="FB9" s="74">
        <f t="shared" si="4"/>
        <v>42246</v>
      </c>
      <c r="FC9" s="74">
        <f t="shared" si="4"/>
        <v>42247</v>
      </c>
      <c r="FD9" s="74">
        <f t="shared" si="4"/>
        <v>42248</v>
      </c>
      <c r="FE9" s="74">
        <f t="shared" si="4"/>
        <v>42249</v>
      </c>
      <c r="FF9" s="74">
        <f t="shared" si="4"/>
        <v>42250</v>
      </c>
      <c r="FG9" s="74">
        <f t="shared" si="4"/>
        <v>42251</v>
      </c>
      <c r="FH9" s="74">
        <f t="shared" si="4"/>
        <v>42252</v>
      </c>
      <c r="FI9" s="74">
        <f t="shared" si="4"/>
        <v>42253</v>
      </c>
      <c r="FJ9" s="74">
        <f t="shared" si="4"/>
        <v>42254</v>
      </c>
      <c r="FK9" s="74">
        <f t="shared" si="4"/>
        <v>42255</v>
      </c>
      <c r="FL9" s="74">
        <f t="shared" si="4"/>
        <v>42256</v>
      </c>
      <c r="FM9" s="74">
        <f t="shared" si="4"/>
        <v>42257</v>
      </c>
      <c r="FN9" s="74">
        <f t="shared" si="4"/>
        <v>42258</v>
      </c>
      <c r="FO9" s="74">
        <f t="shared" si="4"/>
        <v>42259</v>
      </c>
      <c r="FP9" s="74">
        <f t="shared" si="4"/>
        <v>42260</v>
      </c>
      <c r="FQ9" s="74">
        <f t="shared" si="4"/>
        <v>42261</v>
      </c>
      <c r="FR9" s="74">
        <f t="shared" ref="FR9:GV9" si="5">FQ9+1</f>
        <v>42262</v>
      </c>
      <c r="FS9" s="74">
        <f t="shared" si="5"/>
        <v>42263</v>
      </c>
      <c r="FT9" s="74">
        <f t="shared" si="5"/>
        <v>42264</v>
      </c>
      <c r="FU9" s="74">
        <f t="shared" si="5"/>
        <v>42265</v>
      </c>
      <c r="FV9" s="74">
        <f t="shared" si="5"/>
        <v>42266</v>
      </c>
      <c r="FW9" s="74">
        <f t="shared" si="5"/>
        <v>42267</v>
      </c>
      <c r="FX9" s="74">
        <f t="shared" si="5"/>
        <v>42268</v>
      </c>
      <c r="FY9" s="74">
        <f t="shared" si="5"/>
        <v>42269</v>
      </c>
      <c r="FZ9" s="74">
        <f t="shared" si="5"/>
        <v>42270</v>
      </c>
      <c r="GA9" s="74">
        <f t="shared" si="5"/>
        <v>42271</v>
      </c>
      <c r="GB9" s="74">
        <f t="shared" si="5"/>
        <v>42272</v>
      </c>
      <c r="GC9" s="74">
        <f t="shared" si="5"/>
        <v>42273</v>
      </c>
      <c r="GD9" s="74">
        <f t="shared" si="5"/>
        <v>42274</v>
      </c>
      <c r="GE9" s="74">
        <f t="shared" si="5"/>
        <v>42275</v>
      </c>
      <c r="GF9" s="74">
        <f t="shared" si="5"/>
        <v>42276</v>
      </c>
      <c r="GG9" s="74">
        <f t="shared" si="5"/>
        <v>42277</v>
      </c>
      <c r="GH9" s="74">
        <f t="shared" si="5"/>
        <v>42278</v>
      </c>
      <c r="GI9" s="74">
        <f t="shared" si="5"/>
        <v>42279</v>
      </c>
      <c r="GJ9" s="74">
        <f t="shared" si="5"/>
        <v>42280</v>
      </c>
      <c r="GK9" s="74">
        <f t="shared" si="5"/>
        <v>42281</v>
      </c>
      <c r="GL9" s="74">
        <f t="shared" si="5"/>
        <v>42282</v>
      </c>
      <c r="GM9" s="74">
        <f t="shared" si="5"/>
        <v>42283</v>
      </c>
      <c r="GN9" s="74">
        <f t="shared" si="5"/>
        <v>42284</v>
      </c>
      <c r="GO9" s="74">
        <f t="shared" si="5"/>
        <v>42285</v>
      </c>
      <c r="GP9" s="74">
        <f t="shared" si="5"/>
        <v>42286</v>
      </c>
      <c r="GQ9" s="74">
        <f t="shared" si="5"/>
        <v>42287</v>
      </c>
      <c r="GR9" s="74">
        <f t="shared" si="5"/>
        <v>42288</v>
      </c>
      <c r="GS9" s="74">
        <f t="shared" si="5"/>
        <v>42289</v>
      </c>
      <c r="GT9" s="74">
        <f t="shared" si="5"/>
        <v>42290</v>
      </c>
      <c r="GU9" s="74">
        <f t="shared" si="5"/>
        <v>42291</v>
      </c>
      <c r="GV9" s="74">
        <f t="shared" si="5"/>
        <v>42292</v>
      </c>
      <c r="GW9" s="74">
        <f>GV9+1</f>
        <v>42293</v>
      </c>
      <c r="GX9" s="74">
        <f t="shared" ref="GX9:IO9" si="6">GW9+1</f>
        <v>42294</v>
      </c>
      <c r="GY9" s="74">
        <f t="shared" si="6"/>
        <v>42295</v>
      </c>
      <c r="GZ9" s="74">
        <f t="shared" si="6"/>
        <v>42296</v>
      </c>
      <c r="HA9" s="74">
        <f t="shared" si="6"/>
        <v>42297</v>
      </c>
      <c r="HB9" s="74">
        <f t="shared" si="6"/>
        <v>42298</v>
      </c>
      <c r="HC9" s="74">
        <f t="shared" si="6"/>
        <v>42299</v>
      </c>
      <c r="HD9" s="74">
        <f t="shared" si="6"/>
        <v>42300</v>
      </c>
      <c r="HE9" s="74">
        <f t="shared" si="6"/>
        <v>42301</v>
      </c>
      <c r="HF9" s="74">
        <f t="shared" si="6"/>
        <v>42302</v>
      </c>
      <c r="HG9" s="74">
        <f t="shared" si="6"/>
        <v>42303</v>
      </c>
      <c r="HH9" s="74">
        <f t="shared" si="6"/>
        <v>42304</v>
      </c>
      <c r="HI9" s="74">
        <f t="shared" si="6"/>
        <v>42305</v>
      </c>
      <c r="HJ9" s="74">
        <f t="shared" si="6"/>
        <v>42306</v>
      </c>
      <c r="HK9" s="74">
        <f t="shared" si="6"/>
        <v>42307</v>
      </c>
      <c r="HL9" s="74">
        <f t="shared" si="6"/>
        <v>42308</v>
      </c>
      <c r="HM9" s="74">
        <f t="shared" si="6"/>
        <v>42309</v>
      </c>
      <c r="HN9" s="74">
        <f t="shared" si="6"/>
        <v>42310</v>
      </c>
      <c r="HO9" s="74">
        <f t="shared" si="6"/>
        <v>42311</v>
      </c>
      <c r="HP9" s="74">
        <f t="shared" si="6"/>
        <v>42312</v>
      </c>
      <c r="HQ9" s="74">
        <f t="shared" si="6"/>
        <v>42313</v>
      </c>
      <c r="HR9" s="74">
        <f t="shared" si="6"/>
        <v>42314</v>
      </c>
      <c r="HS9" s="74">
        <f t="shared" si="6"/>
        <v>42315</v>
      </c>
      <c r="HT9" s="74">
        <f t="shared" si="6"/>
        <v>42316</v>
      </c>
      <c r="HU9" s="74">
        <f t="shared" si="6"/>
        <v>42317</v>
      </c>
      <c r="HV9" s="74">
        <f t="shared" si="6"/>
        <v>42318</v>
      </c>
      <c r="HW9" s="74">
        <f t="shared" si="6"/>
        <v>42319</v>
      </c>
      <c r="HX9" s="74">
        <f t="shared" si="6"/>
        <v>42320</v>
      </c>
      <c r="HY9" s="74">
        <f t="shared" si="6"/>
        <v>42321</v>
      </c>
      <c r="HZ9" s="74">
        <f t="shared" si="6"/>
        <v>42322</v>
      </c>
      <c r="IA9" s="74">
        <f t="shared" si="6"/>
        <v>42323</v>
      </c>
      <c r="IB9" s="74">
        <f t="shared" si="6"/>
        <v>42324</v>
      </c>
      <c r="IC9" s="74">
        <f t="shared" si="6"/>
        <v>42325</v>
      </c>
      <c r="ID9" s="74">
        <f t="shared" si="6"/>
        <v>42326</v>
      </c>
      <c r="IE9" s="74">
        <f t="shared" si="6"/>
        <v>42327</v>
      </c>
      <c r="IF9" s="74">
        <f t="shared" si="6"/>
        <v>42328</v>
      </c>
      <c r="IG9" s="74">
        <f t="shared" si="6"/>
        <v>42329</v>
      </c>
      <c r="IH9" s="74">
        <f t="shared" si="6"/>
        <v>42330</v>
      </c>
      <c r="II9" s="74">
        <f t="shared" si="6"/>
        <v>42331</v>
      </c>
      <c r="IJ9" s="74">
        <f t="shared" si="6"/>
        <v>42332</v>
      </c>
      <c r="IK9" s="74">
        <f t="shared" si="6"/>
        <v>42333</v>
      </c>
      <c r="IL9" s="74">
        <f t="shared" si="6"/>
        <v>42334</v>
      </c>
      <c r="IM9" s="74">
        <f t="shared" si="6"/>
        <v>42335</v>
      </c>
      <c r="IN9" s="74">
        <f t="shared" si="6"/>
        <v>42336</v>
      </c>
      <c r="IO9" s="74">
        <f t="shared" si="6"/>
        <v>42337</v>
      </c>
      <c r="IP9" s="80"/>
      <c r="IQ9" s="36"/>
      <c r="IR9" s="36"/>
      <c r="IS9" s="36"/>
      <c r="IT9" s="36"/>
      <c r="IU9" s="36"/>
      <c r="IV9" s="36"/>
    </row>
    <row r="10" spans="1:256" s="32" customFormat="1" ht="36.75" customHeight="1">
      <c r="A10" s="103" t="s">
        <v>23</v>
      </c>
      <c r="B10" s="102" t="s">
        <v>24</v>
      </c>
      <c r="C10" s="101" t="s">
        <v>3</v>
      </c>
      <c r="D10" s="55" t="s">
        <v>2</v>
      </c>
      <c r="E10" s="55" t="s">
        <v>25</v>
      </c>
      <c r="F10" s="56" t="s">
        <v>26</v>
      </c>
      <c r="G10" s="57" t="s">
        <v>27</v>
      </c>
      <c r="H10" s="58" t="s">
        <v>28</v>
      </c>
      <c r="I10" s="75" t="s">
        <v>29</v>
      </c>
      <c r="J10" s="75" t="s">
        <v>30</v>
      </c>
      <c r="K10" s="75" t="s">
        <v>99</v>
      </c>
      <c r="L10" s="126">
        <f>L9</f>
        <v>42100</v>
      </c>
      <c r="M10" s="127"/>
      <c r="N10" s="127"/>
      <c r="O10" s="127"/>
      <c r="P10" s="127"/>
      <c r="Q10" s="127"/>
      <c r="R10" s="128"/>
      <c r="S10" s="126">
        <f>S9</f>
        <v>42107</v>
      </c>
      <c r="T10" s="127"/>
      <c r="U10" s="127"/>
      <c r="V10" s="127"/>
      <c r="W10" s="127"/>
      <c r="X10" s="127"/>
      <c r="Y10" s="128"/>
      <c r="Z10" s="126">
        <f>Z9</f>
        <v>42114</v>
      </c>
      <c r="AA10" s="127"/>
      <c r="AB10" s="127"/>
      <c r="AC10" s="127"/>
      <c r="AD10" s="127"/>
      <c r="AE10" s="127"/>
      <c r="AF10" s="128"/>
      <c r="AG10" s="126">
        <f>AG9</f>
        <v>42121</v>
      </c>
      <c r="AH10" s="127"/>
      <c r="AI10" s="127"/>
      <c r="AJ10" s="127"/>
      <c r="AK10" s="127"/>
      <c r="AL10" s="127"/>
      <c r="AM10" s="128"/>
      <c r="AN10" s="126">
        <f>AN9</f>
        <v>42128</v>
      </c>
      <c r="AO10" s="127"/>
      <c r="AP10" s="127"/>
      <c r="AQ10" s="127"/>
      <c r="AR10" s="127"/>
      <c r="AS10" s="127"/>
      <c r="AT10" s="128"/>
      <c r="AU10" s="126">
        <f>AU9</f>
        <v>42135</v>
      </c>
      <c r="AV10" s="127"/>
      <c r="AW10" s="127"/>
      <c r="AX10" s="127"/>
      <c r="AY10" s="127"/>
      <c r="AZ10" s="127"/>
      <c r="BA10" s="128"/>
      <c r="BB10" s="126">
        <f>BB9</f>
        <v>42142</v>
      </c>
      <c r="BC10" s="127"/>
      <c r="BD10" s="127"/>
      <c r="BE10" s="127"/>
      <c r="BF10" s="127"/>
      <c r="BG10" s="127"/>
      <c r="BH10" s="128"/>
      <c r="BI10" s="126">
        <f>BI9</f>
        <v>42149</v>
      </c>
      <c r="BJ10" s="127"/>
      <c r="BK10" s="127"/>
      <c r="BL10" s="127"/>
      <c r="BM10" s="127"/>
      <c r="BN10" s="127"/>
      <c r="BO10" s="128"/>
      <c r="BP10" s="126">
        <f>BP9</f>
        <v>42156</v>
      </c>
      <c r="BQ10" s="127"/>
      <c r="BR10" s="127"/>
      <c r="BS10" s="127"/>
      <c r="BT10" s="127"/>
      <c r="BU10" s="127"/>
      <c r="BV10" s="128"/>
      <c r="BW10" s="126">
        <f>BW9</f>
        <v>42163</v>
      </c>
      <c r="BX10" s="127"/>
      <c r="BY10" s="127"/>
      <c r="BZ10" s="127"/>
      <c r="CA10" s="127"/>
      <c r="CB10" s="127"/>
      <c r="CC10" s="128"/>
      <c r="CD10" s="126">
        <f>CD9</f>
        <v>42170</v>
      </c>
      <c r="CE10" s="127"/>
      <c r="CF10" s="127"/>
      <c r="CG10" s="127"/>
      <c r="CH10" s="127"/>
      <c r="CI10" s="127"/>
      <c r="CJ10" s="128"/>
      <c r="CK10" s="126">
        <f>CK9</f>
        <v>42177</v>
      </c>
      <c r="CL10" s="127"/>
      <c r="CM10" s="127"/>
      <c r="CN10" s="127"/>
      <c r="CO10" s="127"/>
      <c r="CP10" s="127"/>
      <c r="CQ10" s="128"/>
      <c r="CR10" s="126">
        <f>CR9</f>
        <v>42184</v>
      </c>
      <c r="CS10" s="127"/>
      <c r="CT10" s="127"/>
      <c r="CU10" s="127"/>
      <c r="CV10" s="127"/>
      <c r="CW10" s="127"/>
      <c r="CX10" s="128"/>
      <c r="CY10" s="126">
        <f>CY9</f>
        <v>42191</v>
      </c>
      <c r="CZ10" s="127"/>
      <c r="DA10" s="127"/>
      <c r="DB10" s="127"/>
      <c r="DC10" s="127"/>
      <c r="DD10" s="127"/>
      <c r="DE10" s="128"/>
      <c r="DF10" s="126">
        <f>DF9</f>
        <v>42198</v>
      </c>
      <c r="DG10" s="127"/>
      <c r="DH10" s="127"/>
      <c r="DI10" s="127"/>
      <c r="DJ10" s="127"/>
      <c r="DK10" s="127"/>
      <c r="DL10" s="128"/>
      <c r="DM10" s="126">
        <f>DM9</f>
        <v>42205</v>
      </c>
      <c r="DN10" s="127"/>
      <c r="DO10" s="127"/>
      <c r="DP10" s="127"/>
      <c r="DQ10" s="127"/>
      <c r="DR10" s="127"/>
      <c r="DS10" s="128"/>
      <c r="DT10" s="126">
        <f>DT9</f>
        <v>42212</v>
      </c>
      <c r="DU10" s="127"/>
      <c r="DV10" s="127"/>
      <c r="DW10" s="127"/>
      <c r="DX10" s="127"/>
      <c r="DY10" s="127"/>
      <c r="DZ10" s="128"/>
      <c r="EA10" s="126">
        <f>EA9</f>
        <v>42219</v>
      </c>
      <c r="EB10" s="127"/>
      <c r="EC10" s="127"/>
      <c r="ED10" s="127"/>
      <c r="EE10" s="127"/>
      <c r="EF10" s="127"/>
      <c r="EG10" s="128"/>
      <c r="EH10" s="126">
        <f>EH9</f>
        <v>42226</v>
      </c>
      <c r="EI10" s="127"/>
      <c r="EJ10" s="127"/>
      <c r="EK10" s="127"/>
      <c r="EL10" s="127"/>
      <c r="EM10" s="127"/>
      <c r="EN10" s="128"/>
      <c r="EO10" s="126">
        <f>EO9</f>
        <v>42233</v>
      </c>
      <c r="EP10" s="127"/>
      <c r="EQ10" s="127"/>
      <c r="ER10" s="127"/>
      <c r="ES10" s="127"/>
      <c r="ET10" s="127"/>
      <c r="EU10" s="128"/>
      <c r="EV10" s="126">
        <f>EV9</f>
        <v>42240</v>
      </c>
      <c r="EW10" s="127"/>
      <c r="EX10" s="127"/>
      <c r="EY10" s="127"/>
      <c r="EZ10" s="127"/>
      <c r="FA10" s="127"/>
      <c r="FB10" s="128"/>
      <c r="FC10" s="126">
        <f>FC9</f>
        <v>42247</v>
      </c>
      <c r="FD10" s="127"/>
      <c r="FE10" s="127"/>
      <c r="FF10" s="127"/>
      <c r="FG10" s="127"/>
      <c r="FH10" s="127"/>
      <c r="FI10" s="128"/>
      <c r="FJ10" s="126">
        <f>FJ9</f>
        <v>42254</v>
      </c>
      <c r="FK10" s="127"/>
      <c r="FL10" s="127"/>
      <c r="FM10" s="127"/>
      <c r="FN10" s="127"/>
      <c r="FO10" s="127"/>
      <c r="FP10" s="128"/>
      <c r="FQ10" s="126">
        <f>FQ9</f>
        <v>42261</v>
      </c>
      <c r="FR10" s="127"/>
      <c r="FS10" s="127"/>
      <c r="FT10" s="127"/>
      <c r="FU10" s="127"/>
      <c r="FV10" s="127"/>
      <c r="FW10" s="128"/>
      <c r="FX10" s="126">
        <f>FX9</f>
        <v>42268</v>
      </c>
      <c r="FY10" s="127"/>
      <c r="FZ10" s="127"/>
      <c r="GA10" s="127"/>
      <c r="GB10" s="127"/>
      <c r="GC10" s="127"/>
      <c r="GD10" s="128"/>
      <c r="GE10" s="126">
        <f>GE9</f>
        <v>42275</v>
      </c>
      <c r="GF10" s="127"/>
      <c r="GG10" s="127"/>
      <c r="GH10" s="127"/>
      <c r="GI10" s="127"/>
      <c r="GJ10" s="127"/>
      <c r="GK10" s="128"/>
      <c r="GL10" s="126">
        <f>GL9</f>
        <v>42282</v>
      </c>
      <c r="GM10" s="127"/>
      <c r="GN10" s="127"/>
      <c r="GO10" s="127"/>
      <c r="GP10" s="127"/>
      <c r="GQ10" s="127"/>
      <c r="GR10" s="128"/>
      <c r="GS10" s="126">
        <f>GS9</f>
        <v>42289</v>
      </c>
      <c r="GT10" s="127"/>
      <c r="GU10" s="127"/>
      <c r="GV10" s="127"/>
      <c r="GW10" s="127"/>
      <c r="GX10" s="127"/>
      <c r="GY10" s="128"/>
      <c r="GZ10" s="126">
        <f>GZ9</f>
        <v>42296</v>
      </c>
      <c r="HA10" s="127"/>
      <c r="HB10" s="127"/>
      <c r="HC10" s="127"/>
      <c r="HD10" s="127"/>
      <c r="HE10" s="127"/>
      <c r="HF10" s="128"/>
      <c r="HG10" s="126">
        <f>HG9</f>
        <v>42303</v>
      </c>
      <c r="HH10" s="127"/>
      <c r="HI10" s="127"/>
      <c r="HJ10" s="127"/>
      <c r="HK10" s="127"/>
      <c r="HL10" s="127"/>
      <c r="HM10" s="128"/>
      <c r="HN10" s="126">
        <f>HN9</f>
        <v>42310</v>
      </c>
      <c r="HO10" s="127"/>
      <c r="HP10" s="127"/>
      <c r="HQ10" s="127"/>
      <c r="HR10" s="127"/>
      <c r="HS10" s="127"/>
      <c r="HT10" s="128"/>
      <c r="HU10" s="126">
        <f>HU9</f>
        <v>42317</v>
      </c>
      <c r="HV10" s="127"/>
      <c r="HW10" s="127"/>
      <c r="HX10" s="127"/>
      <c r="HY10" s="127"/>
      <c r="HZ10" s="127"/>
      <c r="IA10" s="128"/>
      <c r="IB10" s="126">
        <f>IB9</f>
        <v>42324</v>
      </c>
      <c r="IC10" s="127"/>
      <c r="ID10" s="127"/>
      <c r="IE10" s="127"/>
      <c r="IF10" s="127"/>
      <c r="IG10" s="127"/>
      <c r="IH10" s="128"/>
      <c r="II10" s="126">
        <f>II9</f>
        <v>42331</v>
      </c>
      <c r="IJ10" s="127"/>
      <c r="IK10" s="127"/>
      <c r="IL10" s="127"/>
      <c r="IM10" s="127"/>
      <c r="IN10" s="127"/>
      <c r="IO10" s="128"/>
    </row>
    <row r="11" spans="1:256" s="33" customFormat="1" ht="17.25" customHeight="1">
      <c r="A11" s="59">
        <f ca="1">IF(ISERROR(VALUE(SUBSTITUTE(OFFSET(A11,-1,0,1,1),".",""))),1,IF(ISERROR(FIND("`",SUBSTITUTE(OFFSET(A11,-1,0,1,1),".","`",1))),VALUE(OFFSET(A11,-1,0,1,1))+1,VALUE(LEFT(OFFSET(A11,-1,0,1,1),FIND("`",SUBSTITUTE(OFFSET(A11,-1,0,1,1),".","`",1))-1))+1))</f>
        <v>1</v>
      </c>
      <c r="B11" s="105" t="s">
        <v>134</v>
      </c>
      <c r="C11" s="100" t="s">
        <v>166</v>
      </c>
      <c r="D11" s="60">
        <f>MIN(D12:D34)</f>
        <v>42103</v>
      </c>
      <c r="E11" s="60">
        <v>42108</v>
      </c>
      <c r="F11" s="61">
        <v>6</v>
      </c>
      <c r="G11" s="62">
        <f>SUMPRODUCT(F12:F87,G12:G87)/SUM(F12:F87)</f>
        <v>0.13513513513513514</v>
      </c>
      <c r="H11" s="61">
        <f>NETWORKDAYS(D11,E11)</f>
        <v>4</v>
      </c>
      <c r="I11" s="76">
        <f>ROUNDDOWN(G11*F11,0)</f>
        <v>0</v>
      </c>
      <c r="J11" s="61">
        <f>F11-I11</f>
        <v>6</v>
      </c>
      <c r="K11" s="77">
        <v>100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  <c r="FU11" s="77"/>
      <c r="FV11" s="77"/>
      <c r="FW11" s="77"/>
      <c r="FX11" s="77"/>
      <c r="FY11" s="77"/>
      <c r="FZ11" s="77"/>
      <c r="GA11" s="77"/>
      <c r="GB11" s="77"/>
      <c r="GC11" s="77"/>
      <c r="GD11" s="77"/>
      <c r="GE11" s="77"/>
      <c r="GF11" s="77"/>
      <c r="GG11" s="77"/>
      <c r="GH11" s="77"/>
      <c r="GI11" s="77"/>
      <c r="GJ11" s="77"/>
      <c r="GK11" s="77"/>
      <c r="GL11" s="77"/>
      <c r="GM11" s="77"/>
      <c r="GN11" s="77"/>
      <c r="GO11" s="77"/>
      <c r="GP11" s="77"/>
      <c r="GQ11" s="77"/>
      <c r="GR11" s="77"/>
      <c r="GS11" s="77"/>
      <c r="GT11" s="77"/>
      <c r="GU11" s="77"/>
      <c r="GV11" s="77"/>
      <c r="GW11" s="77"/>
      <c r="GX11" s="77"/>
      <c r="GY11" s="77"/>
      <c r="GZ11" s="77"/>
      <c r="HA11" s="77"/>
      <c r="HB11" s="77"/>
      <c r="HC11" s="77"/>
      <c r="HD11" s="77"/>
      <c r="HE11" s="77"/>
      <c r="HF11" s="77"/>
      <c r="HG11" s="77"/>
      <c r="HH11" s="77"/>
      <c r="HI11" s="77"/>
      <c r="HJ11" s="77"/>
      <c r="HK11" s="77"/>
      <c r="HL11" s="77"/>
      <c r="HM11" s="77"/>
      <c r="HN11" s="77"/>
      <c r="HO11" s="77"/>
      <c r="HP11" s="77"/>
      <c r="HQ11" s="77"/>
      <c r="HR11" s="77"/>
      <c r="HS11" s="77"/>
      <c r="HT11" s="77"/>
      <c r="HU11" s="77"/>
      <c r="HV11" s="77"/>
      <c r="HW11" s="77"/>
      <c r="HX11" s="77"/>
      <c r="HY11" s="77"/>
      <c r="HZ11" s="77"/>
      <c r="IA11" s="77"/>
      <c r="IB11" s="77"/>
      <c r="IC11" s="77"/>
      <c r="ID11" s="77"/>
      <c r="IE11" s="77"/>
      <c r="IF11" s="77"/>
      <c r="IG11" s="77"/>
      <c r="IH11" s="77"/>
      <c r="II11" s="77"/>
      <c r="IJ11" s="77"/>
      <c r="IK11" s="77"/>
      <c r="IL11" s="77"/>
      <c r="IM11" s="77"/>
      <c r="IN11" s="77"/>
      <c r="IO11" s="77"/>
      <c r="IP11" s="81"/>
      <c r="IQ11" s="81"/>
      <c r="IR11" s="81"/>
      <c r="IS11" s="81"/>
      <c r="IT11" s="81"/>
      <c r="IU11" s="81"/>
      <c r="IV11" s="81"/>
    </row>
    <row r="12" spans="1:256" s="34" customFormat="1" ht="17.25" customHeight="1">
      <c r="A12" s="63" t="str">
        <f ca="1">IF(ISERROR(VALUE(SUBSTITUTE(OFFSET(A12,-1,0,1,1),".",""))),"0.1",IF(ISERROR(FIND("`",SUBSTITUTE(OFFSET(A12,-1,0,1,1),".","`",1))),OFFSET(A12,-1,0,1,1)&amp;".1",LEFT(OFFSET(A12,-1,0,1,1),FIND("`",SUBSTITUTE(OFFSET(A12,-1,0,1,1),".","`",1)))&amp;IF(ISERROR(FIND("`",SUBSTITUTE(OFFSET(A12,-1,0,1,1),".","`",2))),VALUE(RIGHT(OFFSET(A12,-1,0,1,1),LEN(OFFSET(A12,-1,0,1,1))-FIND("`",SUBSTITUTE(OFFSET(A12,-1,0,1,1),".","`",1))))+1,VALUE(MID(OFFSET(A12,-1,0,1,1),FIND("`",SUBSTITUTE(OFFSET(A12,-1,0,1,1),".","`",1))+1,(FIND("`",SUBSTITUTE(OFFSET(A12,-1,0,1,1),".","`",2))-FIND("`",SUBSTITUTE(OFFSET(A12,-1,0,1,1),".","`",1))-1)))+1)))</f>
        <v>1.1</v>
      </c>
      <c r="B12" s="106" t="s">
        <v>100</v>
      </c>
      <c r="C12" s="98" t="s">
        <v>160</v>
      </c>
      <c r="D12" s="64">
        <v>42103</v>
      </c>
      <c r="E12" s="64">
        <f t="shared" ref="E12:E46" si="7">D12+F12-1</f>
        <v>42103</v>
      </c>
      <c r="F12" s="61">
        <v>1</v>
      </c>
      <c r="G12" s="62">
        <f>SUMPRODUCT(F13:F49,G13:G49)/SUM(F13:F49)</f>
        <v>0.13513513513513514</v>
      </c>
      <c r="H12" s="65">
        <f t="shared" ref="H12:H22" si="8">NETWORKDAYS(D12,E12)</f>
        <v>1</v>
      </c>
      <c r="I12" s="78">
        <f>ROUNDDOWN(G12*F12,0)</f>
        <v>0</v>
      </c>
      <c r="J12" s="65">
        <f>F12-I12</f>
        <v>1</v>
      </c>
      <c r="K12" s="77">
        <v>100</v>
      </c>
      <c r="L12" s="34" t="s">
        <v>15</v>
      </c>
      <c r="P12" s="34" t="s">
        <v>32</v>
      </c>
      <c r="IP12" s="82"/>
      <c r="IQ12" s="82"/>
      <c r="IR12" s="82"/>
      <c r="IS12" s="82"/>
      <c r="IT12" s="82"/>
      <c r="IU12" s="82"/>
      <c r="IV12" s="82"/>
    </row>
    <row r="13" spans="1:256" s="33" customFormat="1" ht="17.25" customHeight="1">
      <c r="A13" s="66" t="str">
        <f ca="1">IF(ISERROR(VALUE(SUBSTITUTE(OFFSET(A13,-1,0,1,1),".",""))),"0.0.1",IF(ISERROR(FIND("`",SUBSTITUTE(OFFSET(A13,-1,0,1,1),".","`",2))),OFFSET(A13,-1,0,1,1)&amp;".1",LEFT(OFFSET(A13,-1,0,1,1),FIND("`",SUBSTITUTE(OFFSET(A13,-1,0,1,1),".","`",2)))&amp;IF(ISERROR(FIND("`",SUBSTITUTE(OFFSET(A13,-1,0,1,1),".","`",3))),VALUE(RIGHT(OFFSET(A13,-1,0,1,1),LEN(OFFSET(A13,-1,0,1,1))-FIND("`",SUBSTITUTE(OFFSET(A13,-1,0,1,1),".","`",2))))+1,VALUE(MID(OFFSET(A13,-1,0,1,1),FIND("`",SUBSTITUTE(OFFSET(A13,-1,0,1,1),".","`",2))+1,(FIND("`",SUBSTITUTE(OFFSET(A13,-1,0,1,1),".","`",3))-FIND("`",SUBSTITUTE(OFFSET(A13,-1,0,1,1),".","`",2))-1)))+1)))</f>
        <v>1.1.1</v>
      </c>
      <c r="B13" s="107" t="s">
        <v>101</v>
      </c>
      <c r="C13" s="98" t="s">
        <v>160</v>
      </c>
      <c r="D13" s="64">
        <v>42103</v>
      </c>
      <c r="E13" s="64">
        <f t="shared" si="7"/>
        <v>42103</v>
      </c>
      <c r="F13" s="65">
        <v>1</v>
      </c>
      <c r="G13" s="62">
        <f>SUMPRODUCT(F14:F17,G14:G17)/SUM(F14:F17)</f>
        <v>1</v>
      </c>
      <c r="H13" s="65">
        <f t="shared" si="8"/>
        <v>1</v>
      </c>
      <c r="I13" s="78">
        <f>ROUNDDOWN(G13*F13,0)</f>
        <v>1</v>
      </c>
      <c r="J13" s="65">
        <f>F13-I13</f>
        <v>0</v>
      </c>
      <c r="K13" s="77">
        <v>100</v>
      </c>
      <c r="Y13" s="33" t="s">
        <v>33</v>
      </c>
      <c r="IP13" s="81"/>
      <c r="IQ13" s="81"/>
      <c r="IR13" s="81"/>
      <c r="IS13" s="81"/>
      <c r="IT13" s="81"/>
      <c r="IU13" s="81"/>
      <c r="IV13" s="81"/>
    </row>
    <row r="14" spans="1:256" s="33" customFormat="1" ht="17.25" customHeight="1">
      <c r="A14" s="66" t="str">
        <f ca="1">IF(ISERROR(VALUE(SUBSTITUTE(OFFSET(A14,-1,0,1,1),".",""))),"0.0.0.1",IF(ISERROR(FIND("`",SUBSTITUTE(OFFSET(A14,-1,0,1,1),".","`",3))),OFFSET(A14,-1,0,1,1)&amp;".1",LEFT(OFFSET(A14,-1,0,1,1),FIND("`",SUBSTITUTE(OFFSET(A14,-1,0,1,1),".","`",3)))&amp;IF(ISERROR(FIND("`",SUBSTITUTE(OFFSET(A14,-1,0,1,1),".","`",4))),VALUE(RIGHT(OFFSET(A14,-1,0,1,1),LEN(OFFSET(A14,-1,0,1,1))-FIND("`",SUBSTITUTE(OFFSET(A14,-1,0,1,1),".","`",3))))+1,VALUE(MID(OFFSET(A14,-1,0,1,1),FIND("`",SUBSTITUTE(OFFSET(A14,-1,0,1,1),".","`",3))+1,(FIND("`",SUBSTITUTE(OFFSET(A14,-1,0,1,1),".","`",4))-FIND("`",SUBSTITUTE(OFFSET(A14,-1,0,1,1),".","`",3))-1)))+1)))</f>
        <v>1.1.1.1</v>
      </c>
      <c r="B14" s="109" t="s">
        <v>102</v>
      </c>
      <c r="C14" s="98" t="s">
        <v>160</v>
      </c>
      <c r="D14" s="64">
        <v>42103</v>
      </c>
      <c r="E14" s="64">
        <f t="shared" si="7"/>
        <v>42103</v>
      </c>
      <c r="F14" s="65">
        <v>1</v>
      </c>
      <c r="G14" s="68">
        <v>1</v>
      </c>
      <c r="H14" s="65">
        <f t="shared" si="8"/>
        <v>1</v>
      </c>
      <c r="I14" s="78">
        <f>ROUNDDOWN(G14*F14,0)</f>
        <v>1</v>
      </c>
      <c r="J14" s="65">
        <f>F14-I14</f>
        <v>0</v>
      </c>
      <c r="K14" s="77">
        <v>100</v>
      </c>
      <c r="W14" s="33" t="s">
        <v>32</v>
      </c>
      <c r="IP14" s="81"/>
      <c r="IQ14" s="81"/>
      <c r="IR14" s="81"/>
      <c r="IS14" s="81"/>
      <c r="IT14" s="81"/>
      <c r="IU14" s="81"/>
      <c r="IV14" s="81"/>
    </row>
    <row r="15" spans="1:256" s="33" customFormat="1" ht="17.25" customHeight="1">
      <c r="A15" s="66" t="str">
        <f t="shared" ref="A15:A17" ca="1" si="9">IF(ISERROR(VALUE(SUBSTITUTE(OFFSET(A15,-1,0,1,1),".",""))),"0.0.0.1",IF(ISERROR(FIND("`",SUBSTITUTE(OFFSET(A15,-1,0,1,1),".","`",3))),OFFSET(A15,-1,0,1,1)&amp;".1",LEFT(OFFSET(A15,-1,0,1,1),FIND("`",SUBSTITUTE(OFFSET(A15,-1,0,1,1),".","`",3)))&amp;IF(ISERROR(FIND("`",SUBSTITUTE(OFFSET(A15,-1,0,1,1),".","`",4))),VALUE(RIGHT(OFFSET(A15,-1,0,1,1),LEN(OFFSET(A15,-1,0,1,1))-FIND("`",SUBSTITUTE(OFFSET(A15,-1,0,1,1),".","`",3))))+1,VALUE(MID(OFFSET(A15,-1,0,1,1),FIND("`",SUBSTITUTE(OFFSET(A15,-1,0,1,1),".","`",3))+1,(FIND("`",SUBSTITUTE(OFFSET(A15,-1,0,1,1),".","`",4))-FIND("`",SUBSTITUTE(OFFSET(A15,-1,0,1,1),".","`",3))-1)))+1)))</f>
        <v>1.1.1.2</v>
      </c>
      <c r="B15" s="110" t="s">
        <v>103</v>
      </c>
      <c r="C15" s="98" t="s">
        <v>160</v>
      </c>
      <c r="D15" s="64">
        <v>42103</v>
      </c>
      <c r="E15" s="64">
        <f t="shared" si="7"/>
        <v>42103</v>
      </c>
      <c r="F15" s="65">
        <v>1</v>
      </c>
      <c r="G15" s="68">
        <v>1</v>
      </c>
      <c r="H15" s="65">
        <f t="shared" si="8"/>
        <v>1</v>
      </c>
      <c r="I15" s="78">
        <f>ROUNDDOWN(G15*F15,0)</f>
        <v>1</v>
      </c>
      <c r="J15" s="65">
        <f>F15-I15</f>
        <v>0</v>
      </c>
      <c r="K15" s="77">
        <v>100</v>
      </c>
      <c r="Y15" s="33" t="s">
        <v>33</v>
      </c>
      <c r="IP15" s="81"/>
      <c r="IQ15" s="81"/>
      <c r="IR15" s="81"/>
      <c r="IS15" s="81"/>
      <c r="IT15" s="81"/>
      <c r="IU15" s="81"/>
      <c r="IV15" s="81"/>
    </row>
    <row r="16" spans="1:256" s="33" customFormat="1" ht="17.25" customHeight="1">
      <c r="A16" s="66" t="str">
        <f t="shared" ca="1" si="9"/>
        <v>1.1.1.3</v>
      </c>
      <c r="B16" s="110" t="s">
        <v>104</v>
      </c>
      <c r="C16" s="98" t="s">
        <v>160</v>
      </c>
      <c r="D16" s="64">
        <v>42103</v>
      </c>
      <c r="E16" s="64">
        <f t="shared" si="7"/>
        <v>42103</v>
      </c>
      <c r="F16" s="65">
        <v>1</v>
      </c>
      <c r="G16" s="68">
        <v>1</v>
      </c>
      <c r="H16" s="65">
        <f t="shared" si="8"/>
        <v>1</v>
      </c>
      <c r="I16" s="78">
        <f t="shared" ref="I16:I22" si="10">ROUNDDOWN(G16*F16,0)</f>
        <v>1</v>
      </c>
      <c r="J16" s="65">
        <f t="shared" ref="J16:J22" si="11">F16-I16</f>
        <v>0</v>
      </c>
      <c r="K16" s="77">
        <v>100</v>
      </c>
      <c r="Y16" s="33" t="s">
        <v>33</v>
      </c>
      <c r="IP16" s="81"/>
      <c r="IQ16" s="81"/>
      <c r="IR16" s="81"/>
      <c r="IS16" s="81"/>
      <c r="IT16" s="81"/>
      <c r="IU16" s="81"/>
      <c r="IV16" s="81"/>
    </row>
    <row r="17" spans="1:256" s="33" customFormat="1" ht="17.25" customHeight="1">
      <c r="A17" s="66" t="str">
        <f t="shared" ca="1" si="9"/>
        <v>1.1.1.4</v>
      </c>
      <c r="B17" s="110" t="s">
        <v>106</v>
      </c>
      <c r="C17" s="98" t="s">
        <v>160</v>
      </c>
      <c r="D17" s="64">
        <v>42103</v>
      </c>
      <c r="E17" s="64">
        <f t="shared" ref="E17" si="12">D17+F17-1</f>
        <v>42103</v>
      </c>
      <c r="F17" s="65">
        <v>1</v>
      </c>
      <c r="G17" s="62">
        <v>1</v>
      </c>
      <c r="H17" s="65">
        <f t="shared" ref="H17" si="13">NETWORKDAYS(D17,E17)</f>
        <v>1</v>
      </c>
      <c r="I17" s="78">
        <f t="shared" ref="I17" si="14">ROUNDDOWN(G17*F17,0)</f>
        <v>1</v>
      </c>
      <c r="J17" s="65">
        <f t="shared" ref="J17" si="15">F17-I17</f>
        <v>0</v>
      </c>
      <c r="K17" s="77">
        <v>100</v>
      </c>
      <c r="IP17" s="81"/>
      <c r="IQ17" s="81"/>
      <c r="IR17" s="81"/>
      <c r="IS17" s="81"/>
      <c r="IT17" s="81"/>
      <c r="IU17" s="81"/>
      <c r="IV17" s="81"/>
    </row>
    <row r="18" spans="1:256" s="33" customFormat="1" ht="17.25" customHeight="1">
      <c r="A18" s="66" t="str">
        <f ca="1">IF(ISERROR(VALUE(SUBSTITUTE(OFFSET(A18,-1,0,1,1),".",""))),"0.0.1",IF(ISERROR(FIND("`",SUBSTITUTE(OFFSET(A18,-1,0,1,1),".","`",2))),OFFSET(A18,-1,0,1,1)&amp;".1",LEFT(OFFSET(A18,-1,0,1,1),FIND("`",SUBSTITUTE(OFFSET(A18,-1,0,1,1),".","`",2)))&amp;IF(ISERROR(FIND("`",SUBSTITUTE(OFFSET(A18,-1,0,1,1),".","`",3))),VALUE(RIGHT(OFFSET(A18,-1,0,1,1),LEN(OFFSET(A18,-1,0,1,1))-FIND("`",SUBSTITUTE(OFFSET(A18,-1,0,1,1),".","`",2))))+1,VALUE(MID(OFFSET(A18,-1,0,1,1),FIND("`",SUBSTITUTE(OFFSET(A18,-1,0,1,1),".","`",2))+1,(FIND("`",SUBSTITUTE(OFFSET(A18,-1,0,1,1),".","`",3))-FIND("`",SUBSTITUTE(OFFSET(A18,-1,0,1,1),".","`",2))-1)))+1)))</f>
        <v>1.1.2</v>
      </c>
      <c r="B18" s="107" t="s">
        <v>105</v>
      </c>
      <c r="C18" s="98" t="s">
        <v>160</v>
      </c>
      <c r="D18" s="64">
        <v>42104</v>
      </c>
      <c r="E18" s="64">
        <v>42104</v>
      </c>
      <c r="F18" s="65">
        <v>1</v>
      </c>
      <c r="G18" s="62">
        <f>SUMPRODUCT(F19:F25,G19:G25)/SUM(F19:F25)</f>
        <v>0</v>
      </c>
      <c r="H18" s="65">
        <f t="shared" si="8"/>
        <v>1</v>
      </c>
      <c r="I18" s="78">
        <f t="shared" si="10"/>
        <v>0</v>
      </c>
      <c r="J18" s="65">
        <f t="shared" si="11"/>
        <v>1</v>
      </c>
      <c r="K18" s="77">
        <v>100</v>
      </c>
      <c r="Y18" s="33" t="s">
        <v>33</v>
      </c>
      <c r="IP18" s="81"/>
      <c r="IQ18" s="81"/>
      <c r="IR18" s="81"/>
      <c r="IS18" s="81"/>
      <c r="IT18" s="81"/>
      <c r="IU18" s="81"/>
      <c r="IV18" s="81"/>
    </row>
    <row r="19" spans="1:256" s="33" customFormat="1" ht="17.25" customHeight="1">
      <c r="A19" s="66" t="str">
        <f ca="1">IF(ISERROR(VALUE(SUBSTITUTE(OFFSET(A19,-1,0,1,1),".",""))),"0.0.0.1",IF(ISERROR(FIND("`",SUBSTITUTE(OFFSET(A19,-1,0,1,1),".","`",3))),OFFSET(A19,-1,0,1,1)&amp;".1",LEFT(OFFSET(A19,-1,0,1,1),FIND("`",SUBSTITUTE(OFFSET(A19,-1,0,1,1),".","`",3)))&amp;IF(ISERROR(FIND("`",SUBSTITUTE(OFFSET(A19,-1,0,1,1),".","`",4))),VALUE(RIGHT(OFFSET(A19,-1,0,1,1),LEN(OFFSET(A19,-1,0,1,1))-FIND("`",SUBSTITUTE(OFFSET(A19,-1,0,1,1),".","`",3))))+1,VALUE(MID(OFFSET(A19,-1,0,1,1),FIND("`",SUBSTITUTE(OFFSET(A19,-1,0,1,1),".","`",3))+1,(FIND("`",SUBSTITUTE(OFFSET(A19,-1,0,1,1),".","`",4))-FIND("`",SUBSTITUTE(OFFSET(A19,-1,0,1,1),".","`",3))-1)))+1)))</f>
        <v>1.1.2.1</v>
      </c>
      <c r="B19" s="110" t="s">
        <v>107</v>
      </c>
      <c r="C19" s="98" t="s">
        <v>160</v>
      </c>
      <c r="D19" s="64">
        <v>42104</v>
      </c>
      <c r="E19" s="64">
        <f t="shared" si="7"/>
        <v>42104</v>
      </c>
      <c r="F19" s="65">
        <v>1</v>
      </c>
      <c r="G19" s="68"/>
      <c r="H19" s="65">
        <f t="shared" si="8"/>
        <v>1</v>
      </c>
      <c r="I19" s="78">
        <f t="shared" si="10"/>
        <v>0</v>
      </c>
      <c r="J19" s="65">
        <f t="shared" si="11"/>
        <v>1</v>
      </c>
      <c r="K19" s="77">
        <v>100</v>
      </c>
      <c r="Y19" s="33" t="s">
        <v>33</v>
      </c>
      <c r="IP19" s="81"/>
      <c r="IQ19" s="81"/>
      <c r="IR19" s="81"/>
      <c r="IS19" s="81"/>
      <c r="IT19" s="81"/>
      <c r="IU19" s="81"/>
      <c r="IV19" s="81"/>
    </row>
    <row r="20" spans="1:256" s="33" customFormat="1" ht="17.25" customHeight="1">
      <c r="A20" s="66" t="str">
        <f t="shared" ref="A20:A49" ca="1" si="16">IF(ISERROR(VALUE(SUBSTITUTE(OFFSET(A20,-1,0,1,1),".",""))),"0.0.0.1",IF(ISERROR(FIND("`",SUBSTITUTE(OFFSET(A20,-1,0,1,1),".","`",3))),OFFSET(A20,-1,0,1,1)&amp;".1",LEFT(OFFSET(A20,-1,0,1,1),FIND("`",SUBSTITUTE(OFFSET(A20,-1,0,1,1),".","`",3)))&amp;IF(ISERROR(FIND("`",SUBSTITUTE(OFFSET(A20,-1,0,1,1),".","`",4))),VALUE(RIGHT(OFFSET(A20,-1,0,1,1),LEN(OFFSET(A20,-1,0,1,1))-FIND("`",SUBSTITUTE(OFFSET(A20,-1,0,1,1),".","`",3))))+1,VALUE(MID(OFFSET(A20,-1,0,1,1),FIND("`",SUBSTITUTE(OFFSET(A20,-1,0,1,1),".","`",3))+1,(FIND("`",SUBSTITUTE(OFFSET(A20,-1,0,1,1),".","`",4))-FIND("`",SUBSTITUTE(OFFSET(A20,-1,0,1,1),".","`",3))-1)))+1)))</f>
        <v>1.1.2.2</v>
      </c>
      <c r="B20" s="110" t="s">
        <v>108</v>
      </c>
      <c r="C20" s="98" t="s">
        <v>160</v>
      </c>
      <c r="D20" s="64">
        <v>42104</v>
      </c>
      <c r="E20" s="64">
        <f t="shared" si="7"/>
        <v>42104</v>
      </c>
      <c r="F20" s="65">
        <v>1</v>
      </c>
      <c r="G20" s="68"/>
      <c r="H20" s="65">
        <f t="shared" si="8"/>
        <v>1</v>
      </c>
      <c r="I20" s="78">
        <f t="shared" si="10"/>
        <v>0</v>
      </c>
      <c r="J20" s="65">
        <f t="shared" si="11"/>
        <v>1</v>
      </c>
      <c r="K20" s="77">
        <v>100</v>
      </c>
      <c r="Y20" s="33" t="s">
        <v>33</v>
      </c>
      <c r="IP20" s="81"/>
      <c r="IQ20" s="81"/>
      <c r="IR20" s="81"/>
      <c r="IS20" s="81"/>
      <c r="IT20" s="81"/>
      <c r="IU20" s="81"/>
      <c r="IV20" s="81"/>
    </row>
    <row r="21" spans="1:256" s="33" customFormat="1" ht="17.25" customHeight="1">
      <c r="A21" s="66" t="str">
        <f t="shared" ca="1" si="16"/>
        <v>1.1.2.3</v>
      </c>
      <c r="B21" s="110" t="s">
        <v>109</v>
      </c>
      <c r="C21" s="98" t="s">
        <v>160</v>
      </c>
      <c r="D21" s="64">
        <v>42104</v>
      </c>
      <c r="E21" s="64">
        <f t="shared" si="7"/>
        <v>42104</v>
      </c>
      <c r="F21" s="65">
        <v>1</v>
      </c>
      <c r="G21" s="68"/>
      <c r="H21" s="65">
        <f t="shared" si="8"/>
        <v>1</v>
      </c>
      <c r="I21" s="78">
        <f t="shared" si="10"/>
        <v>0</v>
      </c>
      <c r="J21" s="65">
        <f t="shared" si="11"/>
        <v>1</v>
      </c>
      <c r="K21" s="77">
        <v>100</v>
      </c>
      <c r="Y21" s="33" t="s">
        <v>33</v>
      </c>
      <c r="IP21" s="81"/>
      <c r="IQ21" s="81"/>
      <c r="IR21" s="81"/>
      <c r="IS21" s="81"/>
      <c r="IT21" s="81"/>
      <c r="IU21" s="81"/>
      <c r="IV21" s="81"/>
    </row>
    <row r="22" spans="1:256" s="33" customFormat="1" ht="17.25" customHeight="1">
      <c r="A22" s="66" t="str">
        <f t="shared" ca="1" si="16"/>
        <v>1.1.2.4</v>
      </c>
      <c r="B22" s="110" t="s">
        <v>110</v>
      </c>
      <c r="C22" s="98" t="s">
        <v>160</v>
      </c>
      <c r="D22" s="64">
        <v>42104</v>
      </c>
      <c r="E22" s="64">
        <f t="shared" si="7"/>
        <v>42104</v>
      </c>
      <c r="F22" s="65">
        <v>1</v>
      </c>
      <c r="G22" s="68"/>
      <c r="H22" s="65">
        <f t="shared" si="8"/>
        <v>1</v>
      </c>
      <c r="I22" s="78">
        <f t="shared" si="10"/>
        <v>0</v>
      </c>
      <c r="J22" s="65">
        <f t="shared" si="11"/>
        <v>1</v>
      </c>
      <c r="K22" s="77">
        <v>100</v>
      </c>
      <c r="Y22" s="33" t="s">
        <v>33</v>
      </c>
      <c r="IP22" s="81"/>
      <c r="IQ22" s="81"/>
      <c r="IR22" s="81"/>
      <c r="IS22" s="81"/>
      <c r="IT22" s="81"/>
      <c r="IU22" s="81"/>
      <c r="IV22" s="81"/>
    </row>
    <row r="23" spans="1:256" s="33" customFormat="1" ht="17.25" customHeight="1">
      <c r="A23" s="66" t="str">
        <f t="shared" ca="1" si="16"/>
        <v>1.1.2.5</v>
      </c>
      <c r="B23" s="110" t="s">
        <v>111</v>
      </c>
      <c r="C23" s="98" t="s">
        <v>160</v>
      </c>
      <c r="D23" s="64">
        <v>42104</v>
      </c>
      <c r="E23" s="64">
        <f t="shared" si="7"/>
        <v>42104</v>
      </c>
      <c r="F23" s="65">
        <v>1</v>
      </c>
      <c r="G23" s="68"/>
      <c r="H23" s="65">
        <f>NETWORKDAYS(D23,E23)</f>
        <v>1</v>
      </c>
      <c r="I23" s="78">
        <f t="shared" ref="I23:I46" si="17">ROUNDDOWN(G23*F23,0)</f>
        <v>0</v>
      </c>
      <c r="J23" s="65">
        <f t="shared" ref="J23:J46" si="18">F23-I23</f>
        <v>1</v>
      </c>
      <c r="K23" s="77">
        <v>100</v>
      </c>
      <c r="Y23" s="33" t="s">
        <v>33</v>
      </c>
      <c r="IP23" s="81"/>
      <c r="IQ23" s="81"/>
      <c r="IR23" s="81"/>
      <c r="IS23" s="81"/>
      <c r="IT23" s="81"/>
      <c r="IU23" s="81"/>
      <c r="IV23" s="81"/>
    </row>
    <row r="24" spans="1:256" s="33" customFormat="1" ht="17.25" customHeight="1">
      <c r="A24" s="66" t="str">
        <f t="shared" ca="1" si="16"/>
        <v>1.1.2.6</v>
      </c>
      <c r="B24" s="110" t="s">
        <v>112</v>
      </c>
      <c r="C24" s="98" t="s">
        <v>160</v>
      </c>
      <c r="D24" s="64">
        <v>42104</v>
      </c>
      <c r="E24" s="64">
        <f t="shared" si="7"/>
        <v>42104</v>
      </c>
      <c r="F24" s="65">
        <v>1</v>
      </c>
      <c r="G24" s="68"/>
      <c r="H24" s="65">
        <f t="shared" ref="H24:H34" si="19">NETWORKDAYS(D24,E24)</f>
        <v>1</v>
      </c>
      <c r="I24" s="78">
        <f t="shared" si="17"/>
        <v>0</v>
      </c>
      <c r="J24" s="65">
        <f t="shared" si="18"/>
        <v>1</v>
      </c>
      <c r="K24" s="77">
        <v>100</v>
      </c>
      <c r="Y24" s="33" t="s">
        <v>33</v>
      </c>
      <c r="IP24" s="81"/>
      <c r="IQ24" s="81"/>
      <c r="IR24" s="81"/>
      <c r="IS24" s="81"/>
      <c r="IT24" s="81"/>
      <c r="IU24" s="81"/>
      <c r="IV24" s="81"/>
    </row>
    <row r="25" spans="1:256" s="33" customFormat="1" ht="17.25" customHeight="1">
      <c r="A25" s="66" t="str">
        <f t="shared" ca="1" si="16"/>
        <v>1.1.2.7</v>
      </c>
      <c r="B25" s="110" t="s">
        <v>113</v>
      </c>
      <c r="C25" s="98" t="s">
        <v>160</v>
      </c>
      <c r="D25" s="64">
        <v>42104</v>
      </c>
      <c r="E25" s="64">
        <f t="shared" si="7"/>
        <v>42104</v>
      </c>
      <c r="F25" s="65">
        <v>1</v>
      </c>
      <c r="G25" s="68"/>
      <c r="H25" s="65">
        <f t="shared" si="19"/>
        <v>1</v>
      </c>
      <c r="I25" s="78">
        <f t="shared" si="17"/>
        <v>0</v>
      </c>
      <c r="J25" s="65">
        <f t="shared" si="18"/>
        <v>1</v>
      </c>
      <c r="K25" s="77">
        <v>100</v>
      </c>
      <c r="Y25" s="33" t="s">
        <v>33</v>
      </c>
      <c r="IP25" s="81"/>
      <c r="IQ25" s="81"/>
      <c r="IR25" s="81"/>
      <c r="IS25" s="81"/>
      <c r="IT25" s="81"/>
      <c r="IU25" s="81"/>
      <c r="IV25" s="81"/>
    </row>
    <row r="26" spans="1:256" s="33" customFormat="1" ht="17.25" customHeight="1">
      <c r="A26" s="66" t="str">
        <f t="shared" ref="A26:A43" ca="1" si="20">IF(ISERROR(VALUE(SUBSTITUTE(OFFSET(A26,-1,0,1,1),".",""))),"0.0.1",IF(ISERROR(FIND("`",SUBSTITUTE(OFFSET(A26,-1,0,1,1),".","`",2))),OFFSET(A26,-1,0,1,1)&amp;".1",LEFT(OFFSET(A26,-1,0,1,1),FIND("`",SUBSTITUTE(OFFSET(A26,-1,0,1,1),".","`",2)))&amp;IF(ISERROR(FIND("`",SUBSTITUTE(OFFSET(A26,-1,0,1,1),".","`",3))),VALUE(RIGHT(OFFSET(A26,-1,0,1,1),LEN(OFFSET(A26,-1,0,1,1))-FIND("`",SUBSTITUTE(OFFSET(A26,-1,0,1,1),".","`",2))))+1,VALUE(MID(OFFSET(A26,-1,0,1,1),FIND("`",SUBSTITUTE(OFFSET(A26,-1,0,1,1),".","`",2))+1,(FIND("`",SUBSTITUTE(OFFSET(A26,-1,0,1,1),".","`",3))-FIND("`",SUBSTITUTE(OFFSET(A26,-1,0,1,1),".","`",2))-1)))+1)))</f>
        <v>1.1.3</v>
      </c>
      <c r="B26" s="108" t="s">
        <v>114</v>
      </c>
      <c r="C26" s="98" t="s">
        <v>160</v>
      </c>
      <c r="D26" s="64">
        <v>42105</v>
      </c>
      <c r="E26" s="64">
        <v>42105</v>
      </c>
      <c r="F26" s="65">
        <v>1</v>
      </c>
      <c r="G26" s="62">
        <f>SUMPRODUCT(F27:F33,G27:G33)/SUM(F27:F33)</f>
        <v>0</v>
      </c>
      <c r="H26" s="65">
        <f>NETWORKDAYS(D26,E26)</f>
        <v>0</v>
      </c>
      <c r="I26" s="78">
        <f t="shared" si="17"/>
        <v>0</v>
      </c>
      <c r="J26" s="65">
        <f t="shared" si="18"/>
        <v>1</v>
      </c>
      <c r="K26" s="77">
        <v>100</v>
      </c>
      <c r="Y26" s="33" t="s">
        <v>33</v>
      </c>
      <c r="IP26" s="81"/>
      <c r="IQ26" s="81"/>
      <c r="IR26" s="81"/>
      <c r="IS26" s="81"/>
      <c r="IT26" s="81"/>
      <c r="IU26" s="81"/>
      <c r="IV26" s="81"/>
    </row>
    <row r="27" spans="1:256" s="33" customFormat="1" ht="17.25" customHeight="1">
      <c r="A27" s="66" t="str">
        <f t="shared" ca="1" si="16"/>
        <v>1.1.3.1</v>
      </c>
      <c r="B27" s="110" t="s">
        <v>115</v>
      </c>
      <c r="C27" s="98" t="s">
        <v>160</v>
      </c>
      <c r="D27" s="64">
        <v>42105</v>
      </c>
      <c r="E27" s="64">
        <f t="shared" si="7"/>
        <v>42105</v>
      </c>
      <c r="F27" s="65">
        <v>1</v>
      </c>
      <c r="G27" s="68"/>
      <c r="H27" s="65">
        <f>NETWORKDAYS(D27,E27)</f>
        <v>0</v>
      </c>
      <c r="I27" s="78">
        <f t="shared" si="17"/>
        <v>0</v>
      </c>
      <c r="J27" s="65">
        <f t="shared" si="18"/>
        <v>1</v>
      </c>
      <c r="K27" s="77">
        <v>100</v>
      </c>
      <c r="Y27" s="33" t="s">
        <v>33</v>
      </c>
      <c r="IP27" s="81"/>
      <c r="IQ27" s="81"/>
      <c r="IR27" s="81"/>
      <c r="IS27" s="81"/>
      <c r="IT27" s="81"/>
      <c r="IU27" s="81"/>
      <c r="IV27" s="81"/>
    </row>
    <row r="28" spans="1:256" s="33" customFormat="1" ht="17.25" customHeight="1">
      <c r="A28" s="66" t="str">
        <f t="shared" ca="1" si="16"/>
        <v>1.1.3.2</v>
      </c>
      <c r="B28" s="110" t="s">
        <v>116</v>
      </c>
      <c r="C28" s="98" t="s">
        <v>160</v>
      </c>
      <c r="D28" s="64">
        <v>42105</v>
      </c>
      <c r="E28" s="64">
        <f t="shared" si="7"/>
        <v>42105</v>
      </c>
      <c r="F28" s="65">
        <v>1</v>
      </c>
      <c r="G28" s="68"/>
      <c r="H28" s="65">
        <f>NETWORKDAYS(D28,E28)</f>
        <v>0</v>
      </c>
      <c r="I28" s="78">
        <f t="shared" si="17"/>
        <v>0</v>
      </c>
      <c r="J28" s="65">
        <f t="shared" si="18"/>
        <v>1</v>
      </c>
      <c r="K28" s="77">
        <v>100</v>
      </c>
      <c r="Y28" s="33" t="s">
        <v>33</v>
      </c>
      <c r="IP28" s="81"/>
      <c r="IQ28" s="81"/>
      <c r="IR28" s="81"/>
      <c r="IS28" s="81"/>
      <c r="IT28" s="81"/>
      <c r="IU28" s="81"/>
      <c r="IV28" s="81"/>
    </row>
    <row r="29" spans="1:256" s="33" customFormat="1" ht="17.25" customHeight="1">
      <c r="A29" s="66" t="str">
        <f t="shared" ca="1" si="16"/>
        <v>1.1.3.3</v>
      </c>
      <c r="B29" s="110" t="s">
        <v>117</v>
      </c>
      <c r="C29" s="98" t="s">
        <v>160</v>
      </c>
      <c r="D29" s="64">
        <v>42105</v>
      </c>
      <c r="E29" s="64">
        <f t="shared" si="7"/>
        <v>42105</v>
      </c>
      <c r="F29" s="65">
        <v>1</v>
      </c>
      <c r="G29" s="68"/>
      <c r="H29" s="65">
        <f>NETWORKDAYS(D29,E29)</f>
        <v>0</v>
      </c>
      <c r="I29" s="78">
        <f t="shared" si="17"/>
        <v>0</v>
      </c>
      <c r="J29" s="65">
        <f t="shared" si="18"/>
        <v>1</v>
      </c>
      <c r="K29" s="77">
        <v>100</v>
      </c>
      <c r="Y29" s="33" t="s">
        <v>33</v>
      </c>
      <c r="IP29" s="81"/>
      <c r="IQ29" s="81"/>
      <c r="IR29" s="81"/>
      <c r="IS29" s="81"/>
      <c r="IT29" s="81"/>
      <c r="IU29" s="81"/>
      <c r="IV29" s="81"/>
    </row>
    <row r="30" spans="1:256" s="33" customFormat="1" ht="17.25" customHeight="1">
      <c r="A30" s="66" t="str">
        <f t="shared" ca="1" si="16"/>
        <v>1.1.3.4</v>
      </c>
      <c r="B30" s="110" t="s">
        <v>118</v>
      </c>
      <c r="C30" s="98" t="s">
        <v>160</v>
      </c>
      <c r="D30" s="64">
        <v>42105</v>
      </c>
      <c r="E30" s="64">
        <f t="shared" si="7"/>
        <v>42105</v>
      </c>
      <c r="F30" s="65">
        <v>1</v>
      </c>
      <c r="G30" s="68"/>
      <c r="H30" s="65">
        <f t="shared" si="19"/>
        <v>0</v>
      </c>
      <c r="I30" s="78">
        <f t="shared" si="17"/>
        <v>0</v>
      </c>
      <c r="J30" s="65">
        <f t="shared" si="18"/>
        <v>1</v>
      </c>
      <c r="K30" s="77">
        <v>100</v>
      </c>
      <c r="IP30" s="81"/>
      <c r="IQ30" s="81"/>
      <c r="IR30" s="81"/>
      <c r="IS30" s="81"/>
      <c r="IT30" s="81"/>
      <c r="IU30" s="81"/>
      <c r="IV30" s="81"/>
    </row>
    <row r="31" spans="1:256" s="33" customFormat="1" ht="17.25" customHeight="1">
      <c r="A31" s="66" t="str">
        <f t="shared" ca="1" si="16"/>
        <v>1.1.3.5</v>
      </c>
      <c r="B31" s="110" t="s">
        <v>119</v>
      </c>
      <c r="C31" s="98" t="s">
        <v>160</v>
      </c>
      <c r="D31" s="64">
        <v>42105</v>
      </c>
      <c r="E31" s="64">
        <f t="shared" si="7"/>
        <v>42105</v>
      </c>
      <c r="F31" s="65">
        <v>1</v>
      </c>
      <c r="G31" s="68"/>
      <c r="H31" s="65">
        <f t="shared" si="19"/>
        <v>0</v>
      </c>
      <c r="I31" s="78">
        <f t="shared" si="17"/>
        <v>0</v>
      </c>
      <c r="J31" s="65">
        <f t="shared" si="18"/>
        <v>1</v>
      </c>
      <c r="K31" s="77">
        <v>100</v>
      </c>
      <c r="Y31" s="33" t="s">
        <v>33</v>
      </c>
      <c r="IP31" s="81"/>
      <c r="IQ31" s="81"/>
      <c r="IR31" s="81"/>
      <c r="IS31" s="81"/>
      <c r="IT31" s="81"/>
      <c r="IU31" s="81"/>
      <c r="IV31" s="81"/>
    </row>
    <row r="32" spans="1:256" s="33" customFormat="1" ht="17.25" customHeight="1">
      <c r="A32" s="66" t="str">
        <f t="shared" ca="1" si="16"/>
        <v>1.1.3.6</v>
      </c>
      <c r="B32" s="110" t="s">
        <v>110</v>
      </c>
      <c r="C32" s="98" t="s">
        <v>160</v>
      </c>
      <c r="D32" s="64">
        <v>42105</v>
      </c>
      <c r="E32" s="64">
        <f t="shared" si="7"/>
        <v>42105</v>
      </c>
      <c r="F32" s="65">
        <v>1</v>
      </c>
      <c r="G32" s="68"/>
      <c r="H32" s="65">
        <f>NETWORKDAYS(D32,E32)</f>
        <v>0</v>
      </c>
      <c r="I32" s="78">
        <f t="shared" si="17"/>
        <v>0</v>
      </c>
      <c r="J32" s="65">
        <f t="shared" si="18"/>
        <v>1</v>
      </c>
      <c r="K32" s="77">
        <v>100</v>
      </c>
      <c r="Y32" s="33" t="s">
        <v>33</v>
      </c>
      <c r="IP32" s="81"/>
      <c r="IQ32" s="81"/>
      <c r="IR32" s="81"/>
      <c r="IS32" s="81"/>
      <c r="IT32" s="81"/>
      <c r="IU32" s="81"/>
      <c r="IV32" s="81"/>
    </row>
    <row r="33" spans="1:256" s="33" customFormat="1" ht="17.25" customHeight="1">
      <c r="A33" s="66" t="str">
        <f t="shared" ca="1" si="16"/>
        <v>1.1.3.7</v>
      </c>
      <c r="B33" s="110" t="s">
        <v>120</v>
      </c>
      <c r="C33" s="98" t="s">
        <v>160</v>
      </c>
      <c r="D33" s="64">
        <v>42105</v>
      </c>
      <c r="E33" s="64">
        <f t="shared" si="7"/>
        <v>42105</v>
      </c>
      <c r="F33" s="65">
        <v>1</v>
      </c>
      <c r="G33" s="68"/>
      <c r="H33" s="65">
        <f>NETWORKDAYS(D33,E33)</f>
        <v>0</v>
      </c>
      <c r="I33" s="78">
        <f t="shared" si="17"/>
        <v>0</v>
      </c>
      <c r="J33" s="65">
        <f t="shared" si="18"/>
        <v>1</v>
      </c>
      <c r="K33" s="77">
        <v>100</v>
      </c>
      <c r="Y33" s="33" t="s">
        <v>33</v>
      </c>
      <c r="IP33" s="81"/>
      <c r="IQ33" s="81"/>
      <c r="IR33" s="81"/>
      <c r="IS33" s="81"/>
      <c r="IT33" s="81"/>
      <c r="IU33" s="81"/>
      <c r="IV33" s="81"/>
    </row>
    <row r="34" spans="1:256" s="33" customFormat="1" ht="17.25" customHeight="1">
      <c r="A34" s="66" t="str">
        <f t="shared" ca="1" si="20"/>
        <v>1.1.4</v>
      </c>
      <c r="B34" s="108" t="s">
        <v>121</v>
      </c>
      <c r="C34" s="98" t="s">
        <v>160</v>
      </c>
      <c r="D34" s="64">
        <v>42107</v>
      </c>
      <c r="E34" s="64">
        <f t="shared" si="7"/>
        <v>42107</v>
      </c>
      <c r="F34" s="65">
        <v>1</v>
      </c>
      <c r="G34" s="62">
        <f>SUMPRODUCT(F35:F42,G35:G42)/SUM(F35:F42)</f>
        <v>0</v>
      </c>
      <c r="H34" s="65">
        <f t="shared" si="19"/>
        <v>1</v>
      </c>
      <c r="I34" s="78">
        <f t="shared" si="17"/>
        <v>0</v>
      </c>
      <c r="J34" s="65">
        <f t="shared" si="18"/>
        <v>1</v>
      </c>
      <c r="K34" s="77">
        <v>100</v>
      </c>
      <c r="IP34" s="81"/>
      <c r="IQ34" s="81"/>
      <c r="IR34" s="81"/>
      <c r="IS34" s="81"/>
      <c r="IT34" s="81"/>
      <c r="IU34" s="81"/>
      <c r="IV34" s="81"/>
    </row>
    <row r="35" spans="1:256" s="33" customFormat="1" ht="17.25" customHeight="1">
      <c r="A35" s="66" t="str">
        <f t="shared" ca="1" si="16"/>
        <v>1.1.4.1</v>
      </c>
      <c r="B35" s="110" t="s">
        <v>122</v>
      </c>
      <c r="C35" s="98" t="s">
        <v>160</v>
      </c>
      <c r="D35" s="64">
        <v>42107</v>
      </c>
      <c r="E35" s="64">
        <f t="shared" si="7"/>
        <v>42107</v>
      </c>
      <c r="F35" s="65">
        <v>1</v>
      </c>
      <c r="G35" s="68"/>
      <c r="H35" s="65">
        <f t="shared" ref="H35:H45" si="21">NETWORKDAYS(D35,E35)</f>
        <v>1</v>
      </c>
      <c r="I35" s="78">
        <f t="shared" si="17"/>
        <v>0</v>
      </c>
      <c r="J35" s="65">
        <f t="shared" si="18"/>
        <v>1</v>
      </c>
      <c r="K35" s="77">
        <v>100</v>
      </c>
      <c r="Y35" s="33" t="s">
        <v>33</v>
      </c>
      <c r="IP35" s="81"/>
      <c r="IQ35" s="81"/>
      <c r="IR35" s="81"/>
      <c r="IS35" s="81"/>
      <c r="IT35" s="81"/>
      <c r="IU35" s="81"/>
      <c r="IV35" s="81"/>
    </row>
    <row r="36" spans="1:256" s="33" customFormat="1" ht="17.25" customHeight="1">
      <c r="A36" s="66" t="str">
        <f t="shared" ca="1" si="16"/>
        <v>1.1.4.2</v>
      </c>
      <c r="B36" s="110" t="s">
        <v>123</v>
      </c>
      <c r="C36" s="98" t="s">
        <v>160</v>
      </c>
      <c r="D36" s="64">
        <v>42107</v>
      </c>
      <c r="E36" s="64">
        <f t="shared" si="7"/>
        <v>42107</v>
      </c>
      <c r="F36" s="65">
        <v>1</v>
      </c>
      <c r="G36" s="68"/>
      <c r="H36" s="65">
        <f t="shared" si="21"/>
        <v>1</v>
      </c>
      <c r="I36" s="78">
        <f t="shared" si="17"/>
        <v>0</v>
      </c>
      <c r="J36" s="65">
        <f t="shared" si="18"/>
        <v>1</v>
      </c>
      <c r="K36" s="77">
        <v>100</v>
      </c>
      <c r="Y36" s="33" t="s">
        <v>33</v>
      </c>
      <c r="IP36" s="81"/>
      <c r="IQ36" s="81"/>
      <c r="IR36" s="81"/>
      <c r="IS36" s="81"/>
      <c r="IT36" s="81"/>
      <c r="IU36" s="81"/>
      <c r="IV36" s="81"/>
    </row>
    <row r="37" spans="1:256" s="33" customFormat="1" ht="17.25" customHeight="1">
      <c r="A37" s="66" t="str">
        <f t="shared" ca="1" si="16"/>
        <v>1.1.4.3</v>
      </c>
      <c r="B37" s="110" t="s">
        <v>124</v>
      </c>
      <c r="C37" s="98" t="s">
        <v>160</v>
      </c>
      <c r="D37" s="64">
        <v>42107</v>
      </c>
      <c r="E37" s="64">
        <f t="shared" si="7"/>
        <v>42107</v>
      </c>
      <c r="F37" s="65">
        <v>1</v>
      </c>
      <c r="G37" s="68"/>
      <c r="H37" s="65">
        <f t="shared" ref="H37" si="22">NETWORKDAYS(D37,E37)</f>
        <v>1</v>
      </c>
      <c r="I37" s="78">
        <f t="shared" ref="I37" si="23">ROUNDDOWN(G37*F37,0)</f>
        <v>0</v>
      </c>
      <c r="J37" s="65">
        <f t="shared" ref="J37" si="24">F37-I37</f>
        <v>1</v>
      </c>
      <c r="K37" s="77">
        <v>100</v>
      </c>
      <c r="IP37" s="81"/>
      <c r="IQ37" s="81"/>
      <c r="IR37" s="81"/>
      <c r="IS37" s="81"/>
      <c r="IT37" s="81"/>
      <c r="IU37" s="81"/>
      <c r="IV37" s="81"/>
    </row>
    <row r="38" spans="1:256" s="33" customFormat="1" ht="17.25" customHeight="1">
      <c r="A38" s="66" t="str">
        <f t="shared" ca="1" si="16"/>
        <v>1.1.4.4</v>
      </c>
      <c r="B38" s="110" t="s">
        <v>117</v>
      </c>
      <c r="C38" s="98" t="s">
        <v>160</v>
      </c>
      <c r="D38" s="64">
        <v>42107</v>
      </c>
      <c r="E38" s="64">
        <f t="shared" si="7"/>
        <v>42107</v>
      </c>
      <c r="F38" s="65">
        <v>1</v>
      </c>
      <c r="G38" s="68"/>
      <c r="H38" s="65">
        <f t="shared" si="21"/>
        <v>1</v>
      </c>
      <c r="I38" s="78">
        <f t="shared" si="17"/>
        <v>0</v>
      </c>
      <c r="J38" s="65">
        <f t="shared" si="18"/>
        <v>1</v>
      </c>
      <c r="K38" s="77">
        <v>100</v>
      </c>
      <c r="Y38" s="33" t="s">
        <v>33</v>
      </c>
      <c r="IP38" s="81"/>
      <c r="IQ38" s="81"/>
      <c r="IR38" s="81"/>
      <c r="IS38" s="81"/>
      <c r="IT38" s="81"/>
      <c r="IU38" s="81"/>
      <c r="IV38" s="81"/>
    </row>
    <row r="39" spans="1:256" s="33" customFormat="1" ht="17.25" customHeight="1">
      <c r="A39" s="66" t="str">
        <f t="shared" ca="1" si="16"/>
        <v>1.1.4.5</v>
      </c>
      <c r="B39" s="110" t="s">
        <v>118</v>
      </c>
      <c r="C39" s="98" t="s">
        <v>160</v>
      </c>
      <c r="D39" s="64">
        <v>42107</v>
      </c>
      <c r="E39" s="64">
        <f t="shared" si="7"/>
        <v>42107</v>
      </c>
      <c r="F39" s="65">
        <v>1</v>
      </c>
      <c r="G39" s="68"/>
      <c r="H39" s="65">
        <f t="shared" si="21"/>
        <v>1</v>
      </c>
      <c r="I39" s="78">
        <f t="shared" si="17"/>
        <v>0</v>
      </c>
      <c r="J39" s="65">
        <f t="shared" si="18"/>
        <v>1</v>
      </c>
      <c r="K39" s="77">
        <v>100</v>
      </c>
      <c r="Y39" s="33" t="s">
        <v>33</v>
      </c>
      <c r="IP39" s="81"/>
      <c r="IQ39" s="81"/>
      <c r="IR39" s="81"/>
      <c r="IS39" s="81"/>
      <c r="IT39" s="81"/>
      <c r="IU39" s="81"/>
      <c r="IV39" s="81"/>
    </row>
    <row r="40" spans="1:256" s="33" customFormat="1" ht="17.25" customHeight="1">
      <c r="A40" s="66" t="str">
        <f t="shared" ca="1" si="16"/>
        <v>1.1.4.6</v>
      </c>
      <c r="B40" s="110" t="s">
        <v>125</v>
      </c>
      <c r="C40" s="98" t="s">
        <v>160</v>
      </c>
      <c r="D40" s="64">
        <v>42107</v>
      </c>
      <c r="E40" s="64">
        <f t="shared" si="7"/>
        <v>42107</v>
      </c>
      <c r="F40" s="65">
        <v>1</v>
      </c>
      <c r="G40" s="68"/>
      <c r="H40" s="65">
        <f t="shared" si="21"/>
        <v>1</v>
      </c>
      <c r="I40" s="78">
        <f t="shared" si="17"/>
        <v>0</v>
      </c>
      <c r="J40" s="65">
        <f t="shared" si="18"/>
        <v>1</v>
      </c>
      <c r="K40" s="77">
        <v>100</v>
      </c>
      <c r="Y40" s="33" t="s">
        <v>33</v>
      </c>
      <c r="IP40" s="81"/>
      <c r="IQ40" s="81"/>
      <c r="IR40" s="81"/>
      <c r="IS40" s="81"/>
      <c r="IT40" s="81"/>
      <c r="IU40" s="81"/>
      <c r="IV40" s="81"/>
    </row>
    <row r="41" spans="1:256" s="33" customFormat="1" ht="17.25" customHeight="1">
      <c r="A41" s="66" t="str">
        <f t="shared" ca="1" si="16"/>
        <v>1.1.4.7</v>
      </c>
      <c r="B41" s="110" t="s">
        <v>110</v>
      </c>
      <c r="C41" s="98" t="s">
        <v>160</v>
      </c>
      <c r="D41" s="64">
        <v>42107</v>
      </c>
      <c r="E41" s="64">
        <f t="shared" si="7"/>
        <v>42107</v>
      </c>
      <c r="F41" s="65">
        <v>1</v>
      </c>
      <c r="G41" s="68"/>
      <c r="H41" s="65">
        <f t="shared" si="21"/>
        <v>1</v>
      </c>
      <c r="I41" s="78">
        <f t="shared" si="17"/>
        <v>0</v>
      </c>
      <c r="J41" s="65">
        <f t="shared" si="18"/>
        <v>1</v>
      </c>
      <c r="K41" s="77">
        <v>100</v>
      </c>
      <c r="Y41" s="33" t="s">
        <v>33</v>
      </c>
      <c r="IP41" s="81"/>
      <c r="IQ41" s="81"/>
      <c r="IR41" s="81"/>
      <c r="IS41" s="81"/>
      <c r="IT41" s="81"/>
      <c r="IU41" s="81"/>
      <c r="IV41" s="81"/>
    </row>
    <row r="42" spans="1:256" s="33" customFormat="1" ht="17.25" customHeight="1">
      <c r="A42" s="66" t="str">
        <f t="shared" ca="1" si="16"/>
        <v>1.1.4.8</v>
      </c>
      <c r="B42" s="110" t="s">
        <v>126</v>
      </c>
      <c r="C42" s="98" t="s">
        <v>160</v>
      </c>
      <c r="D42" s="64">
        <v>42107</v>
      </c>
      <c r="E42" s="64">
        <f t="shared" si="7"/>
        <v>42107</v>
      </c>
      <c r="F42" s="65">
        <v>1</v>
      </c>
      <c r="G42" s="68"/>
      <c r="H42" s="65">
        <f t="shared" si="21"/>
        <v>1</v>
      </c>
      <c r="I42" s="78">
        <f t="shared" si="17"/>
        <v>0</v>
      </c>
      <c r="J42" s="65">
        <f t="shared" si="18"/>
        <v>1</v>
      </c>
      <c r="K42" s="77">
        <v>100</v>
      </c>
      <c r="Y42" s="33" t="s">
        <v>33</v>
      </c>
      <c r="IP42" s="81"/>
      <c r="IQ42" s="81"/>
      <c r="IR42" s="81"/>
      <c r="IS42" s="81"/>
      <c r="IT42" s="81"/>
      <c r="IU42" s="81"/>
      <c r="IV42" s="81"/>
    </row>
    <row r="43" spans="1:256" s="33" customFormat="1" ht="17.25" customHeight="1">
      <c r="A43" s="66" t="str">
        <f t="shared" ca="1" si="20"/>
        <v>1.1.5</v>
      </c>
      <c r="B43" s="108" t="s">
        <v>127</v>
      </c>
      <c r="C43" s="98" t="s">
        <v>160</v>
      </c>
      <c r="D43" s="64">
        <v>42108</v>
      </c>
      <c r="E43" s="64">
        <f t="shared" si="7"/>
        <v>42108</v>
      </c>
      <c r="F43" s="65">
        <v>1</v>
      </c>
      <c r="G43" s="62">
        <f>SUMPRODUCT(F44:F49,G44:G49)/SUM(F44:F49)</f>
        <v>0</v>
      </c>
      <c r="H43" s="65">
        <f t="shared" si="21"/>
        <v>1</v>
      </c>
      <c r="I43" s="78">
        <f t="shared" si="17"/>
        <v>0</v>
      </c>
      <c r="J43" s="65">
        <f t="shared" si="18"/>
        <v>1</v>
      </c>
      <c r="K43" s="77">
        <v>100</v>
      </c>
      <c r="Y43" s="33" t="s">
        <v>33</v>
      </c>
      <c r="IP43" s="81"/>
      <c r="IQ43" s="81"/>
      <c r="IR43" s="81"/>
      <c r="IS43" s="81"/>
      <c r="IT43" s="81"/>
      <c r="IU43" s="81"/>
      <c r="IV43" s="81"/>
    </row>
    <row r="44" spans="1:256" s="33" customFormat="1" ht="17.25" customHeight="1">
      <c r="A44" s="66" t="str">
        <f t="shared" ca="1" si="16"/>
        <v>1.1.5.1</v>
      </c>
      <c r="B44" s="110" t="s">
        <v>128</v>
      </c>
      <c r="C44" s="98" t="s">
        <v>160</v>
      </c>
      <c r="D44" s="64">
        <v>42108</v>
      </c>
      <c r="E44" s="64">
        <f t="shared" si="7"/>
        <v>42108</v>
      </c>
      <c r="F44" s="65">
        <v>1</v>
      </c>
      <c r="G44" s="68"/>
      <c r="H44" s="65">
        <f t="shared" si="21"/>
        <v>1</v>
      </c>
      <c r="I44" s="78">
        <f t="shared" si="17"/>
        <v>0</v>
      </c>
      <c r="J44" s="65">
        <f t="shared" si="18"/>
        <v>1</v>
      </c>
      <c r="K44" s="77">
        <v>100</v>
      </c>
      <c r="IP44" s="81"/>
      <c r="IQ44" s="81"/>
      <c r="IR44" s="81"/>
      <c r="IS44" s="81"/>
      <c r="IT44" s="81"/>
      <c r="IU44" s="81"/>
      <c r="IV44" s="81"/>
    </row>
    <row r="45" spans="1:256" s="33" customFormat="1" ht="17.25" customHeight="1">
      <c r="A45" s="66" t="str">
        <f t="shared" ca="1" si="16"/>
        <v>1.1.5.2</v>
      </c>
      <c r="B45" s="110" t="s">
        <v>129</v>
      </c>
      <c r="C45" s="98" t="s">
        <v>160</v>
      </c>
      <c r="D45" s="64">
        <v>42108</v>
      </c>
      <c r="E45" s="64">
        <f t="shared" si="7"/>
        <v>42108</v>
      </c>
      <c r="F45" s="65">
        <v>1</v>
      </c>
      <c r="G45" s="68"/>
      <c r="H45" s="65">
        <f t="shared" si="21"/>
        <v>1</v>
      </c>
      <c r="I45" s="78">
        <f t="shared" si="17"/>
        <v>0</v>
      </c>
      <c r="J45" s="65">
        <f t="shared" si="18"/>
        <v>1</v>
      </c>
      <c r="K45" s="77">
        <v>100</v>
      </c>
      <c r="IP45" s="81"/>
      <c r="IQ45" s="81"/>
      <c r="IR45" s="81"/>
      <c r="IS45" s="81"/>
      <c r="IT45" s="81"/>
      <c r="IU45" s="81"/>
      <c r="IV45" s="81"/>
    </row>
    <row r="46" spans="1:256" s="33" customFormat="1" ht="17.25" customHeight="1">
      <c r="A46" s="66" t="str">
        <f t="shared" ca="1" si="16"/>
        <v>1.1.5.3</v>
      </c>
      <c r="B46" s="110" t="s">
        <v>130</v>
      </c>
      <c r="C46" s="98" t="s">
        <v>160</v>
      </c>
      <c r="D46" s="64">
        <v>42108</v>
      </c>
      <c r="E46" s="64">
        <f t="shared" si="7"/>
        <v>42108</v>
      </c>
      <c r="F46" s="65">
        <v>1</v>
      </c>
      <c r="G46" s="68"/>
      <c r="H46" s="65">
        <f t="shared" ref="H46:H49" si="25">NETWORKDAYS(D46,E46)</f>
        <v>1</v>
      </c>
      <c r="I46" s="78">
        <f t="shared" si="17"/>
        <v>0</v>
      </c>
      <c r="J46" s="65">
        <f t="shared" si="18"/>
        <v>1</v>
      </c>
      <c r="K46" s="77">
        <v>100</v>
      </c>
      <c r="IP46" s="81"/>
      <c r="IQ46" s="81"/>
      <c r="IR46" s="81"/>
      <c r="IS46" s="81"/>
      <c r="IT46" s="81"/>
      <c r="IU46" s="81"/>
      <c r="IV46" s="81"/>
    </row>
    <row r="47" spans="1:256" s="33" customFormat="1" ht="17.25" customHeight="1">
      <c r="A47" s="66" t="str">
        <f t="shared" ca="1" si="16"/>
        <v>1.1.5.4</v>
      </c>
      <c r="B47" s="110" t="s">
        <v>131</v>
      </c>
      <c r="C47" s="98" t="s">
        <v>160</v>
      </c>
      <c r="D47" s="64">
        <v>42108</v>
      </c>
      <c r="E47" s="64">
        <f t="shared" ref="E47:E84" si="26">D47+F47-1</f>
        <v>42108</v>
      </c>
      <c r="F47" s="65">
        <v>1</v>
      </c>
      <c r="G47" s="68"/>
      <c r="H47" s="65">
        <f t="shared" si="25"/>
        <v>1</v>
      </c>
      <c r="I47" s="78">
        <f t="shared" ref="I47:I49" si="27">ROUNDDOWN(G47*F47,0)</f>
        <v>0</v>
      </c>
      <c r="J47" s="65">
        <f t="shared" ref="J47:J49" si="28">F47-I47</f>
        <v>1</v>
      </c>
      <c r="K47" s="77">
        <v>100</v>
      </c>
      <c r="Y47" s="33" t="s">
        <v>33</v>
      </c>
      <c r="IP47" s="81"/>
      <c r="IQ47" s="81"/>
      <c r="IR47" s="81"/>
      <c r="IS47" s="81"/>
      <c r="IT47" s="81"/>
      <c r="IU47" s="81"/>
      <c r="IV47" s="81"/>
    </row>
    <row r="48" spans="1:256" s="33" customFormat="1" ht="17.25" customHeight="1">
      <c r="A48" s="66" t="str">
        <f t="shared" ca="1" si="16"/>
        <v>1.1.5.5</v>
      </c>
      <c r="B48" s="110" t="s">
        <v>132</v>
      </c>
      <c r="C48" s="98" t="s">
        <v>160</v>
      </c>
      <c r="D48" s="64">
        <v>42108</v>
      </c>
      <c r="E48" s="64">
        <f t="shared" si="26"/>
        <v>42108</v>
      </c>
      <c r="F48" s="65">
        <v>1</v>
      </c>
      <c r="G48" s="68"/>
      <c r="H48" s="65">
        <f t="shared" si="25"/>
        <v>1</v>
      </c>
      <c r="I48" s="78">
        <f t="shared" si="27"/>
        <v>0</v>
      </c>
      <c r="J48" s="65">
        <f t="shared" si="28"/>
        <v>1</v>
      </c>
      <c r="K48" s="77">
        <v>100</v>
      </c>
      <c r="Y48" s="33" t="s">
        <v>33</v>
      </c>
      <c r="IP48" s="81"/>
      <c r="IQ48" s="81"/>
      <c r="IR48" s="81"/>
      <c r="IS48" s="81"/>
      <c r="IT48" s="81"/>
      <c r="IU48" s="81"/>
      <c r="IV48" s="81"/>
    </row>
    <row r="49" spans="1:256" s="33" customFormat="1" ht="17.25" customHeight="1">
      <c r="A49" s="66" t="str">
        <f t="shared" ca="1" si="16"/>
        <v>1.1.5.6</v>
      </c>
      <c r="B49" s="110" t="s">
        <v>133</v>
      </c>
      <c r="C49" s="98" t="s">
        <v>160</v>
      </c>
      <c r="D49" s="64">
        <v>42108</v>
      </c>
      <c r="E49" s="64">
        <f t="shared" si="26"/>
        <v>42108</v>
      </c>
      <c r="F49" s="65">
        <v>1</v>
      </c>
      <c r="G49" s="68"/>
      <c r="H49" s="65">
        <f t="shared" si="25"/>
        <v>1</v>
      </c>
      <c r="I49" s="78">
        <f t="shared" si="27"/>
        <v>0</v>
      </c>
      <c r="J49" s="65">
        <f t="shared" si="28"/>
        <v>1</v>
      </c>
      <c r="K49" s="77">
        <v>100</v>
      </c>
      <c r="Y49" s="33" t="s">
        <v>33</v>
      </c>
      <c r="IP49" s="81"/>
      <c r="IQ49" s="81"/>
      <c r="IR49" s="81"/>
      <c r="IS49" s="81"/>
      <c r="IT49" s="81"/>
      <c r="IU49" s="81"/>
      <c r="IV49" s="81"/>
    </row>
    <row r="50" spans="1:256" s="33" customFormat="1" ht="17.25" customHeight="1">
      <c r="A50" s="63" t="str">
        <f ca="1">IF(ISERROR(VALUE(SUBSTITUTE(OFFSET(A50,-1,0,1,1),".",""))),"0.1",IF(ISERROR(FIND("`",SUBSTITUTE(OFFSET(A50,-1,0,1,1),".","`",1))),OFFSET(A50,-1,0,1,1)&amp;".1",LEFT(OFFSET(A50,-1,0,1,1),FIND("`",SUBSTITUTE(OFFSET(A50,-1,0,1,1),".","`",1)))&amp;IF(ISERROR(FIND("`",SUBSTITUTE(OFFSET(A50,-1,0,1,1),".","`",2))),VALUE(RIGHT(OFFSET(A50,-1,0,1,1),LEN(OFFSET(A50,-1,0,1,1))-FIND("`",SUBSTITUTE(OFFSET(A50,-1,0,1,1),".","`",1))))+1,VALUE(MID(OFFSET(A50,-1,0,1,1),FIND("`",SUBSTITUTE(OFFSET(A50,-1,0,1,1),".","`",1))+1,(FIND("`",SUBSTITUTE(OFFSET(A50,-1,0,1,1),".","`",2))-FIND("`",SUBSTITUTE(OFFSET(A50,-1,0,1,1),".","`",1))-1)))+1)))</f>
        <v>1.2</v>
      </c>
      <c r="B50" s="106" t="s">
        <v>135</v>
      </c>
      <c r="C50" s="98" t="s">
        <v>160</v>
      </c>
      <c r="D50" s="64">
        <v>42103</v>
      </c>
      <c r="E50" s="64">
        <v>42103</v>
      </c>
      <c r="F50" s="61">
        <v>1</v>
      </c>
      <c r="G50" s="68">
        <f>SUMPRODUCT(F51:F87,G51:G87)/SUM(F51:F87)</f>
        <v>0.13513513513513514</v>
      </c>
      <c r="H50" s="65">
        <f t="shared" ref="H50" si="29">NETWORKDAYS(D50,E50)</f>
        <v>1</v>
      </c>
      <c r="I50" s="78">
        <f t="shared" ref="I50" si="30">ROUNDDOWN(G50*F50,0)</f>
        <v>0</v>
      </c>
      <c r="J50" s="65">
        <f t="shared" ref="J50" si="31">F50-I50</f>
        <v>1</v>
      </c>
      <c r="K50" s="77">
        <v>100</v>
      </c>
      <c r="IP50" s="81"/>
      <c r="IQ50" s="81"/>
      <c r="IR50" s="81"/>
      <c r="IS50" s="81"/>
      <c r="IT50" s="81"/>
      <c r="IU50" s="81"/>
      <c r="IV50" s="81"/>
    </row>
    <row r="51" spans="1:256" s="33" customFormat="1" ht="17.25" customHeight="1">
      <c r="A51" s="66" t="str">
        <f ca="1">IF(ISERROR(VALUE(SUBSTITUTE(OFFSET(A51,-1,0,1,1),".",""))),"0.0.1",IF(ISERROR(FIND("`",SUBSTITUTE(OFFSET(A51,-1,0,1,1),".","`",2))),OFFSET(A51,-1,0,1,1)&amp;".1",LEFT(OFFSET(A51,-1,0,1,1),FIND("`",SUBSTITUTE(OFFSET(A51,-1,0,1,1),".","`",2)))&amp;IF(ISERROR(FIND("`",SUBSTITUTE(OFFSET(A51,-1,0,1,1),".","`",3))),VALUE(RIGHT(OFFSET(A51,-1,0,1,1),LEN(OFFSET(A51,-1,0,1,1))-FIND("`",SUBSTITUTE(OFFSET(A51,-1,0,1,1),".","`",2))))+1,VALUE(MID(OFFSET(A51,-1,0,1,1),FIND("`",SUBSTITUTE(OFFSET(A51,-1,0,1,1),".","`",2))+1,(FIND("`",SUBSTITUTE(OFFSET(A51,-1,0,1,1),".","`",3))-FIND("`",SUBSTITUTE(OFFSET(A51,-1,0,1,1),".","`",2))-1)))+1)))</f>
        <v>1.2.1</v>
      </c>
      <c r="B51" s="107" t="s">
        <v>101</v>
      </c>
      <c r="C51" s="98" t="s">
        <v>160</v>
      </c>
      <c r="D51" s="64">
        <v>42103</v>
      </c>
      <c r="E51" s="64">
        <f t="shared" si="26"/>
        <v>42103</v>
      </c>
      <c r="F51" s="65">
        <v>1</v>
      </c>
      <c r="G51" s="68">
        <f>SUMPRODUCT(F52:F55,G52:G55)/SUM(F52:F55)</f>
        <v>1</v>
      </c>
      <c r="H51" s="65">
        <f t="shared" ref="H51:H75" si="32">NETWORKDAYS(D51,E51)</f>
        <v>1</v>
      </c>
      <c r="I51" s="78">
        <f t="shared" ref="I51:I75" si="33">ROUNDDOWN(G51*F51,0)</f>
        <v>1</v>
      </c>
      <c r="J51" s="65">
        <f t="shared" ref="J51:J75" si="34">F51-I51</f>
        <v>0</v>
      </c>
      <c r="K51" s="77">
        <v>100</v>
      </c>
      <c r="IP51" s="81"/>
      <c r="IQ51" s="81"/>
      <c r="IR51" s="81"/>
      <c r="IS51" s="81"/>
      <c r="IT51" s="81"/>
      <c r="IU51" s="81"/>
      <c r="IV51" s="81"/>
    </row>
    <row r="52" spans="1:256" s="33" customFormat="1" ht="17.25" customHeight="1">
      <c r="A52" s="66" t="str">
        <f t="shared" ref="A52" ca="1" si="35">IF(ISERROR(VALUE(SUBSTITUTE(OFFSET(A52,-1,0,1,1),".",""))),"0.0.0.1",IF(ISERROR(FIND("`",SUBSTITUTE(OFFSET(A52,-1,0,1,1),".","`",3))),OFFSET(A52,-1,0,1,1)&amp;".1",LEFT(OFFSET(A52,-1,0,1,1),FIND("`",SUBSTITUTE(OFFSET(A52,-1,0,1,1),".","`",3)))&amp;IF(ISERROR(FIND("`",SUBSTITUTE(OFFSET(A52,-1,0,1,1),".","`",4))),VALUE(RIGHT(OFFSET(A52,-1,0,1,1),LEN(OFFSET(A52,-1,0,1,1))-FIND("`",SUBSTITUTE(OFFSET(A52,-1,0,1,1),".","`",3))))+1,VALUE(MID(OFFSET(A52,-1,0,1,1),FIND("`",SUBSTITUTE(OFFSET(A52,-1,0,1,1),".","`",3))+1,(FIND("`",SUBSTITUTE(OFFSET(A52,-1,0,1,1),".","`",4))-FIND("`",SUBSTITUTE(OFFSET(A52,-1,0,1,1),".","`",3))-1)))+1)))</f>
        <v>1.2.1.1</v>
      </c>
      <c r="B52" s="109" t="s">
        <v>102</v>
      </c>
      <c r="C52" s="98" t="s">
        <v>160</v>
      </c>
      <c r="D52" s="64">
        <v>42103</v>
      </c>
      <c r="E52" s="64">
        <f t="shared" si="26"/>
        <v>42103</v>
      </c>
      <c r="F52" s="65">
        <v>1</v>
      </c>
      <c r="G52" s="68">
        <v>1</v>
      </c>
      <c r="H52" s="65">
        <f t="shared" si="32"/>
        <v>1</v>
      </c>
      <c r="I52" s="78">
        <f t="shared" si="33"/>
        <v>1</v>
      </c>
      <c r="J52" s="65">
        <f t="shared" si="34"/>
        <v>0</v>
      </c>
      <c r="K52" s="77">
        <v>100</v>
      </c>
      <c r="IP52" s="81"/>
      <c r="IQ52" s="81"/>
      <c r="IR52" s="81"/>
      <c r="IS52" s="81"/>
      <c r="IT52" s="81"/>
      <c r="IU52" s="81"/>
      <c r="IV52" s="81"/>
    </row>
    <row r="53" spans="1:256" s="33" customFormat="1" ht="17.25" customHeight="1">
      <c r="A53" s="66" t="str">
        <f t="shared" ref="A53:A87" ca="1" si="36">IF(ISERROR(VALUE(SUBSTITUTE(OFFSET(A53,-1,0,1,1),".",""))),"0.0.0.1",IF(ISERROR(FIND("`",SUBSTITUTE(OFFSET(A53,-1,0,1,1),".","`",3))),OFFSET(A53,-1,0,1,1)&amp;".1",LEFT(OFFSET(A53,-1,0,1,1),FIND("`",SUBSTITUTE(OFFSET(A53,-1,0,1,1),".","`",3)))&amp;IF(ISERROR(FIND("`",SUBSTITUTE(OFFSET(A53,-1,0,1,1),".","`",4))),VALUE(RIGHT(OFFSET(A53,-1,0,1,1),LEN(OFFSET(A53,-1,0,1,1))-FIND("`",SUBSTITUTE(OFFSET(A53,-1,0,1,1),".","`",3))))+1,VALUE(MID(OFFSET(A53,-1,0,1,1),FIND("`",SUBSTITUTE(OFFSET(A53,-1,0,1,1),".","`",3))+1,(FIND("`",SUBSTITUTE(OFFSET(A53,-1,0,1,1),".","`",4))-FIND("`",SUBSTITUTE(OFFSET(A53,-1,0,1,1),".","`",3))-1)))+1)))</f>
        <v>1.2.1.2</v>
      </c>
      <c r="B53" s="110" t="s">
        <v>103</v>
      </c>
      <c r="C53" s="98" t="s">
        <v>160</v>
      </c>
      <c r="D53" s="64">
        <v>42103</v>
      </c>
      <c r="E53" s="64">
        <f t="shared" si="26"/>
        <v>42103</v>
      </c>
      <c r="F53" s="65">
        <v>1</v>
      </c>
      <c r="G53" s="68">
        <v>1</v>
      </c>
      <c r="H53" s="65">
        <f t="shared" si="32"/>
        <v>1</v>
      </c>
      <c r="I53" s="78">
        <f t="shared" si="33"/>
        <v>1</v>
      </c>
      <c r="J53" s="65">
        <f t="shared" si="34"/>
        <v>0</v>
      </c>
      <c r="K53" s="77">
        <v>100</v>
      </c>
      <c r="Y53" s="33" t="s">
        <v>33</v>
      </c>
      <c r="IP53" s="81"/>
      <c r="IQ53" s="81"/>
      <c r="IR53" s="81"/>
      <c r="IS53" s="81"/>
      <c r="IT53" s="81"/>
      <c r="IU53" s="81"/>
      <c r="IV53" s="81"/>
    </row>
    <row r="54" spans="1:256" s="33" customFormat="1" ht="17.25" customHeight="1">
      <c r="A54" s="66" t="str">
        <f t="shared" ca="1" si="36"/>
        <v>1.2.1.3</v>
      </c>
      <c r="B54" s="110" t="s">
        <v>104</v>
      </c>
      <c r="C54" s="98" t="s">
        <v>160</v>
      </c>
      <c r="D54" s="64">
        <v>42103</v>
      </c>
      <c r="E54" s="64">
        <f t="shared" si="26"/>
        <v>42103</v>
      </c>
      <c r="F54" s="65">
        <v>1</v>
      </c>
      <c r="G54" s="68">
        <v>1</v>
      </c>
      <c r="H54" s="65">
        <f t="shared" si="32"/>
        <v>1</v>
      </c>
      <c r="I54" s="78">
        <f t="shared" si="33"/>
        <v>1</v>
      </c>
      <c r="J54" s="65">
        <f t="shared" si="34"/>
        <v>0</v>
      </c>
      <c r="K54" s="77">
        <v>100</v>
      </c>
      <c r="Y54" s="33" t="s">
        <v>33</v>
      </c>
      <c r="IP54" s="81"/>
      <c r="IQ54" s="81"/>
      <c r="IR54" s="81"/>
      <c r="IS54" s="81"/>
      <c r="IT54" s="81"/>
      <c r="IU54" s="81"/>
      <c r="IV54" s="81"/>
    </row>
    <row r="55" spans="1:256" s="33" customFormat="1" ht="17.25" customHeight="1">
      <c r="A55" s="66" t="str">
        <f t="shared" ca="1" si="36"/>
        <v>1.2.1.4</v>
      </c>
      <c r="B55" s="110" t="s">
        <v>106</v>
      </c>
      <c r="C55" s="98" t="s">
        <v>160</v>
      </c>
      <c r="D55" s="64">
        <v>42103</v>
      </c>
      <c r="E55" s="64">
        <f t="shared" si="26"/>
        <v>42103</v>
      </c>
      <c r="F55" s="65">
        <v>1</v>
      </c>
      <c r="G55" s="68">
        <v>1</v>
      </c>
      <c r="H55" s="65">
        <f t="shared" si="32"/>
        <v>1</v>
      </c>
      <c r="I55" s="78">
        <f t="shared" si="33"/>
        <v>1</v>
      </c>
      <c r="J55" s="65">
        <f t="shared" si="34"/>
        <v>0</v>
      </c>
      <c r="K55" s="77">
        <v>100</v>
      </c>
      <c r="Y55" s="33" t="s">
        <v>33</v>
      </c>
      <c r="IP55" s="81"/>
      <c r="IQ55" s="81"/>
      <c r="IR55" s="81"/>
      <c r="IS55" s="81"/>
      <c r="IT55" s="81"/>
      <c r="IU55" s="81"/>
      <c r="IV55" s="81"/>
    </row>
    <row r="56" spans="1:256" s="33" customFormat="1" ht="17.25" customHeight="1">
      <c r="A56" s="66" t="str">
        <f ca="1">IF(ISERROR(VALUE(SUBSTITUTE(OFFSET(A56,-1,0,1,1),".",""))),"0.0.1",IF(ISERROR(FIND("`",SUBSTITUTE(OFFSET(A56,-1,0,1,1),".","`",2))),OFFSET(A56,-1,0,1,1)&amp;".1",LEFT(OFFSET(A56,-1,0,1,1),FIND("`",SUBSTITUTE(OFFSET(A56,-1,0,1,1),".","`",2)))&amp;IF(ISERROR(FIND("`",SUBSTITUTE(OFFSET(A56,-1,0,1,1),".","`",3))),VALUE(RIGHT(OFFSET(A56,-1,0,1,1),LEN(OFFSET(A56,-1,0,1,1))-FIND("`",SUBSTITUTE(OFFSET(A56,-1,0,1,1),".","`",2))))+1,VALUE(MID(OFFSET(A56,-1,0,1,1),FIND("`",SUBSTITUTE(OFFSET(A56,-1,0,1,1),".","`",2))+1,(FIND("`",SUBSTITUTE(OFFSET(A56,-1,0,1,1),".","`",3))-FIND("`",SUBSTITUTE(OFFSET(A56,-1,0,1,1),".","`",2))-1)))+1)))</f>
        <v>1.2.2</v>
      </c>
      <c r="B56" s="107" t="s">
        <v>105</v>
      </c>
      <c r="C56" s="98" t="s">
        <v>160</v>
      </c>
      <c r="D56" s="64">
        <v>42104</v>
      </c>
      <c r="E56" s="64">
        <f t="shared" si="26"/>
        <v>42104</v>
      </c>
      <c r="F56" s="65">
        <v>1</v>
      </c>
      <c r="G56" s="62">
        <f>SUMPRODUCT(F57:F63,G57:G63)/SUM(F57:F63)</f>
        <v>0</v>
      </c>
      <c r="H56" s="65">
        <f t="shared" si="32"/>
        <v>1</v>
      </c>
      <c r="I56" s="78">
        <f t="shared" si="33"/>
        <v>0</v>
      </c>
      <c r="J56" s="65">
        <f t="shared" si="34"/>
        <v>1</v>
      </c>
      <c r="K56" s="77">
        <v>100</v>
      </c>
      <c r="Y56" s="33" t="s">
        <v>33</v>
      </c>
      <c r="IP56" s="81"/>
      <c r="IQ56" s="81"/>
      <c r="IR56" s="81"/>
      <c r="IS56" s="81"/>
      <c r="IT56" s="81"/>
      <c r="IU56" s="81"/>
      <c r="IV56" s="81"/>
    </row>
    <row r="57" spans="1:256" s="33" customFormat="1" ht="17.25" customHeight="1">
      <c r="A57" s="66" t="str">
        <f t="shared" ca="1" si="36"/>
        <v>1.2.2.1</v>
      </c>
      <c r="B57" s="110" t="s">
        <v>107</v>
      </c>
      <c r="C57" s="98" t="s">
        <v>160</v>
      </c>
      <c r="D57" s="64">
        <v>42104</v>
      </c>
      <c r="E57" s="64">
        <f t="shared" si="26"/>
        <v>42104</v>
      </c>
      <c r="F57" s="65">
        <v>1</v>
      </c>
      <c r="G57" s="68"/>
      <c r="H57" s="65">
        <f t="shared" si="32"/>
        <v>1</v>
      </c>
      <c r="I57" s="78">
        <f t="shared" si="33"/>
        <v>0</v>
      </c>
      <c r="J57" s="65">
        <f t="shared" si="34"/>
        <v>1</v>
      </c>
      <c r="K57" s="77">
        <v>100</v>
      </c>
      <c r="Y57" s="33" t="s">
        <v>33</v>
      </c>
      <c r="IP57" s="81"/>
      <c r="IQ57" s="81"/>
      <c r="IR57" s="81"/>
      <c r="IS57" s="81"/>
      <c r="IT57" s="81"/>
      <c r="IU57" s="81"/>
      <c r="IV57" s="81"/>
    </row>
    <row r="58" spans="1:256" s="33" customFormat="1" ht="17.25" customHeight="1">
      <c r="A58" s="66" t="str">
        <f t="shared" ca="1" si="36"/>
        <v>1.2.2.2</v>
      </c>
      <c r="B58" s="110" t="s">
        <v>108</v>
      </c>
      <c r="C58" s="98" t="s">
        <v>160</v>
      </c>
      <c r="D58" s="64">
        <v>42104</v>
      </c>
      <c r="E58" s="64">
        <f t="shared" si="26"/>
        <v>42104</v>
      </c>
      <c r="F58" s="65">
        <v>1</v>
      </c>
      <c r="G58" s="68"/>
      <c r="H58" s="65">
        <f t="shared" si="32"/>
        <v>1</v>
      </c>
      <c r="I58" s="78">
        <f t="shared" si="33"/>
        <v>0</v>
      </c>
      <c r="J58" s="65">
        <f t="shared" si="34"/>
        <v>1</v>
      </c>
      <c r="K58" s="77">
        <v>100</v>
      </c>
      <c r="Y58" s="33" t="s">
        <v>33</v>
      </c>
      <c r="IP58" s="81"/>
      <c r="IQ58" s="81"/>
      <c r="IR58" s="81"/>
      <c r="IS58" s="81"/>
      <c r="IT58" s="81"/>
      <c r="IU58" s="81"/>
      <c r="IV58" s="81"/>
    </row>
    <row r="59" spans="1:256" s="33" customFormat="1" ht="17.25" customHeight="1">
      <c r="A59" s="66" t="str">
        <f t="shared" ca="1" si="36"/>
        <v>1.2.2.3</v>
      </c>
      <c r="B59" s="110" t="s">
        <v>109</v>
      </c>
      <c r="C59" s="98" t="s">
        <v>160</v>
      </c>
      <c r="D59" s="64">
        <v>42104</v>
      </c>
      <c r="E59" s="64">
        <f t="shared" si="26"/>
        <v>42104</v>
      </c>
      <c r="F59" s="65">
        <v>1</v>
      </c>
      <c r="G59" s="68"/>
      <c r="H59" s="65">
        <f t="shared" si="32"/>
        <v>1</v>
      </c>
      <c r="I59" s="78">
        <f t="shared" si="33"/>
        <v>0</v>
      </c>
      <c r="J59" s="65">
        <f t="shared" si="34"/>
        <v>1</v>
      </c>
      <c r="K59" s="77">
        <v>100</v>
      </c>
      <c r="Y59" s="33" t="s">
        <v>33</v>
      </c>
      <c r="IP59" s="81"/>
      <c r="IQ59" s="81"/>
      <c r="IR59" s="81"/>
      <c r="IS59" s="81"/>
      <c r="IT59" s="81"/>
      <c r="IU59" s="81"/>
      <c r="IV59" s="81"/>
    </row>
    <row r="60" spans="1:256" s="33" customFormat="1" ht="17.25" customHeight="1">
      <c r="A60" s="66" t="str">
        <f t="shared" ca="1" si="36"/>
        <v>1.2.2.4</v>
      </c>
      <c r="B60" s="110" t="s">
        <v>110</v>
      </c>
      <c r="C60" s="98" t="s">
        <v>160</v>
      </c>
      <c r="D60" s="64">
        <v>42104</v>
      </c>
      <c r="E60" s="64">
        <f t="shared" si="26"/>
        <v>42104</v>
      </c>
      <c r="F60" s="65">
        <v>1</v>
      </c>
      <c r="G60" s="68"/>
      <c r="H60" s="65">
        <f t="shared" si="32"/>
        <v>1</v>
      </c>
      <c r="I60" s="78">
        <f t="shared" si="33"/>
        <v>0</v>
      </c>
      <c r="J60" s="65">
        <f t="shared" si="34"/>
        <v>1</v>
      </c>
      <c r="K60" s="77">
        <v>100</v>
      </c>
      <c r="Y60" s="33" t="s">
        <v>33</v>
      </c>
      <c r="IP60" s="81"/>
      <c r="IQ60" s="81"/>
      <c r="IR60" s="81"/>
      <c r="IS60" s="81"/>
      <c r="IT60" s="81"/>
      <c r="IU60" s="81"/>
      <c r="IV60" s="81"/>
    </row>
    <row r="61" spans="1:256" s="33" customFormat="1" ht="17.25" customHeight="1">
      <c r="A61" s="66" t="str">
        <f t="shared" ca="1" si="36"/>
        <v>1.2.2.5</v>
      </c>
      <c r="B61" s="110" t="s">
        <v>111</v>
      </c>
      <c r="C61" s="98" t="s">
        <v>160</v>
      </c>
      <c r="D61" s="64">
        <v>42104</v>
      </c>
      <c r="E61" s="64">
        <f t="shared" si="26"/>
        <v>42104</v>
      </c>
      <c r="F61" s="65">
        <v>1</v>
      </c>
      <c r="G61" s="68"/>
      <c r="H61" s="65">
        <f t="shared" si="32"/>
        <v>1</v>
      </c>
      <c r="I61" s="78">
        <f t="shared" si="33"/>
        <v>0</v>
      </c>
      <c r="J61" s="65">
        <f t="shared" si="34"/>
        <v>1</v>
      </c>
      <c r="K61" s="77">
        <v>100</v>
      </c>
      <c r="Y61" s="33" t="s">
        <v>33</v>
      </c>
      <c r="IP61" s="81"/>
      <c r="IQ61" s="81"/>
      <c r="IR61" s="81"/>
      <c r="IS61" s="81"/>
      <c r="IT61" s="81"/>
      <c r="IU61" s="81"/>
      <c r="IV61" s="81"/>
    </row>
    <row r="62" spans="1:256" s="33" customFormat="1" ht="17.25" customHeight="1">
      <c r="A62" s="66" t="str">
        <f t="shared" ca="1" si="36"/>
        <v>1.2.2.6</v>
      </c>
      <c r="B62" s="110" t="s">
        <v>112</v>
      </c>
      <c r="C62" s="98" t="s">
        <v>160</v>
      </c>
      <c r="D62" s="64">
        <v>42104</v>
      </c>
      <c r="E62" s="64">
        <f t="shared" si="26"/>
        <v>42104</v>
      </c>
      <c r="F62" s="65">
        <v>1</v>
      </c>
      <c r="G62" s="68"/>
      <c r="H62" s="65">
        <f t="shared" si="32"/>
        <v>1</v>
      </c>
      <c r="I62" s="78">
        <f t="shared" si="33"/>
        <v>0</v>
      </c>
      <c r="J62" s="65">
        <f t="shared" si="34"/>
        <v>1</v>
      </c>
      <c r="K62" s="77">
        <v>100</v>
      </c>
      <c r="IP62" s="81"/>
      <c r="IQ62" s="81"/>
      <c r="IR62" s="81"/>
      <c r="IS62" s="81"/>
      <c r="IT62" s="81"/>
      <c r="IU62" s="81"/>
      <c r="IV62" s="81"/>
    </row>
    <row r="63" spans="1:256" s="33" customFormat="1" ht="17.25" customHeight="1">
      <c r="A63" s="66" t="str">
        <f t="shared" ca="1" si="36"/>
        <v>1.2.2.7</v>
      </c>
      <c r="B63" s="110" t="s">
        <v>113</v>
      </c>
      <c r="C63" s="98" t="s">
        <v>160</v>
      </c>
      <c r="D63" s="64">
        <v>42104</v>
      </c>
      <c r="E63" s="64">
        <f t="shared" si="26"/>
        <v>42104</v>
      </c>
      <c r="F63" s="65">
        <v>1</v>
      </c>
      <c r="G63" s="68"/>
      <c r="H63" s="65">
        <f t="shared" si="32"/>
        <v>1</v>
      </c>
      <c r="I63" s="78">
        <f t="shared" si="33"/>
        <v>0</v>
      </c>
      <c r="J63" s="65">
        <f t="shared" si="34"/>
        <v>1</v>
      </c>
      <c r="K63" s="77">
        <v>100</v>
      </c>
      <c r="Y63" s="33" t="s">
        <v>33</v>
      </c>
      <c r="IP63" s="81"/>
      <c r="IQ63" s="81"/>
      <c r="IR63" s="81"/>
      <c r="IS63" s="81"/>
      <c r="IT63" s="81"/>
      <c r="IU63" s="81"/>
      <c r="IV63" s="81"/>
    </row>
    <row r="64" spans="1:256" s="33" customFormat="1" ht="17.25" customHeight="1">
      <c r="A64" s="66" t="str">
        <f t="shared" ref="A64:A81" ca="1" si="37">IF(ISERROR(VALUE(SUBSTITUTE(OFFSET(A64,-1,0,1,1),".",""))),"0.0.1",IF(ISERROR(FIND("`",SUBSTITUTE(OFFSET(A64,-1,0,1,1),".","`",2))),OFFSET(A64,-1,0,1,1)&amp;".1",LEFT(OFFSET(A64,-1,0,1,1),FIND("`",SUBSTITUTE(OFFSET(A64,-1,0,1,1),".","`",2)))&amp;IF(ISERROR(FIND("`",SUBSTITUTE(OFFSET(A64,-1,0,1,1),".","`",3))),VALUE(RIGHT(OFFSET(A64,-1,0,1,1),LEN(OFFSET(A64,-1,0,1,1))-FIND("`",SUBSTITUTE(OFFSET(A64,-1,0,1,1),".","`",2))))+1,VALUE(MID(OFFSET(A64,-1,0,1,1),FIND("`",SUBSTITUTE(OFFSET(A64,-1,0,1,1),".","`",2))+1,(FIND("`",SUBSTITUTE(OFFSET(A64,-1,0,1,1),".","`",3))-FIND("`",SUBSTITUTE(OFFSET(A64,-1,0,1,1),".","`",2))-1)))+1)))</f>
        <v>1.2.3</v>
      </c>
      <c r="B64" s="108" t="s">
        <v>114</v>
      </c>
      <c r="C64" s="98" t="s">
        <v>160</v>
      </c>
      <c r="D64" s="64">
        <v>42105</v>
      </c>
      <c r="E64" s="64">
        <f t="shared" si="26"/>
        <v>42105</v>
      </c>
      <c r="F64" s="65">
        <v>1</v>
      </c>
      <c r="G64" s="62">
        <f>SUMPRODUCT(F65:F71,G65:G71)/SUM(F65:F71)</f>
        <v>0</v>
      </c>
      <c r="H64" s="65">
        <f t="shared" si="32"/>
        <v>0</v>
      </c>
      <c r="I64" s="78">
        <f t="shared" si="33"/>
        <v>0</v>
      </c>
      <c r="J64" s="65">
        <f t="shared" si="34"/>
        <v>1</v>
      </c>
      <c r="K64" s="77">
        <v>100</v>
      </c>
      <c r="Y64" s="33" t="s">
        <v>33</v>
      </c>
      <c r="IP64" s="81"/>
      <c r="IQ64" s="81"/>
      <c r="IR64" s="81"/>
      <c r="IS64" s="81"/>
      <c r="IT64" s="81"/>
      <c r="IU64" s="81"/>
      <c r="IV64" s="81"/>
    </row>
    <row r="65" spans="1:256" s="33" customFormat="1" ht="17.25" customHeight="1">
      <c r="A65" s="66" t="str">
        <f t="shared" ca="1" si="36"/>
        <v>1.2.3.1</v>
      </c>
      <c r="B65" s="110" t="s">
        <v>115</v>
      </c>
      <c r="C65" s="98" t="s">
        <v>160</v>
      </c>
      <c r="D65" s="64">
        <v>42105</v>
      </c>
      <c r="E65" s="64">
        <f t="shared" si="26"/>
        <v>42105</v>
      </c>
      <c r="F65" s="65">
        <v>1</v>
      </c>
      <c r="G65" s="68"/>
      <c r="H65" s="65">
        <f t="shared" si="32"/>
        <v>0</v>
      </c>
      <c r="I65" s="78">
        <f t="shared" si="33"/>
        <v>0</v>
      </c>
      <c r="J65" s="65">
        <f t="shared" si="34"/>
        <v>1</v>
      </c>
      <c r="K65" s="77">
        <v>100</v>
      </c>
      <c r="Y65" s="33" t="s">
        <v>33</v>
      </c>
      <c r="IP65" s="81"/>
      <c r="IQ65" s="81"/>
      <c r="IR65" s="81"/>
      <c r="IS65" s="81"/>
      <c r="IT65" s="81"/>
      <c r="IU65" s="81"/>
      <c r="IV65" s="81"/>
    </row>
    <row r="66" spans="1:256" s="33" customFormat="1" ht="17.25" customHeight="1">
      <c r="A66" s="66" t="str">
        <f t="shared" ca="1" si="36"/>
        <v>1.2.3.2</v>
      </c>
      <c r="B66" s="110" t="s">
        <v>116</v>
      </c>
      <c r="C66" s="98" t="s">
        <v>160</v>
      </c>
      <c r="D66" s="64">
        <v>42105</v>
      </c>
      <c r="E66" s="64">
        <f t="shared" si="26"/>
        <v>42105</v>
      </c>
      <c r="F66" s="65">
        <v>1</v>
      </c>
      <c r="G66" s="68"/>
      <c r="H66" s="65">
        <f t="shared" si="32"/>
        <v>0</v>
      </c>
      <c r="I66" s="78">
        <f t="shared" si="33"/>
        <v>0</v>
      </c>
      <c r="J66" s="65">
        <f t="shared" si="34"/>
        <v>1</v>
      </c>
      <c r="K66" s="77">
        <v>100</v>
      </c>
      <c r="Y66" s="33" t="s">
        <v>33</v>
      </c>
      <c r="IP66" s="81"/>
      <c r="IQ66" s="81"/>
      <c r="IR66" s="81"/>
      <c r="IS66" s="81"/>
      <c r="IT66" s="81"/>
      <c r="IU66" s="81"/>
      <c r="IV66" s="81"/>
    </row>
    <row r="67" spans="1:256" s="33" customFormat="1" ht="17.25" customHeight="1">
      <c r="A67" s="66" t="str">
        <f t="shared" ca="1" si="36"/>
        <v>1.2.3.3</v>
      </c>
      <c r="B67" s="110" t="s">
        <v>117</v>
      </c>
      <c r="C67" s="98" t="s">
        <v>160</v>
      </c>
      <c r="D67" s="64">
        <v>42105</v>
      </c>
      <c r="E67" s="64">
        <f t="shared" si="26"/>
        <v>42105</v>
      </c>
      <c r="F67" s="65">
        <v>1</v>
      </c>
      <c r="G67" s="68"/>
      <c r="H67" s="65">
        <f t="shared" si="32"/>
        <v>0</v>
      </c>
      <c r="I67" s="78">
        <f t="shared" si="33"/>
        <v>0</v>
      </c>
      <c r="J67" s="65">
        <f t="shared" si="34"/>
        <v>1</v>
      </c>
      <c r="K67" s="77">
        <v>100</v>
      </c>
      <c r="Y67" s="33" t="s">
        <v>33</v>
      </c>
      <c r="IP67" s="81"/>
      <c r="IQ67" s="81"/>
      <c r="IR67" s="81"/>
      <c r="IS67" s="81"/>
      <c r="IT67" s="81"/>
      <c r="IU67" s="81"/>
      <c r="IV67" s="81"/>
    </row>
    <row r="68" spans="1:256" s="33" customFormat="1" ht="17.25" customHeight="1">
      <c r="A68" s="66" t="str">
        <f t="shared" ca="1" si="36"/>
        <v>1.2.3.4</v>
      </c>
      <c r="B68" s="110" t="s">
        <v>118</v>
      </c>
      <c r="C68" s="98" t="s">
        <v>160</v>
      </c>
      <c r="D68" s="64">
        <v>42105</v>
      </c>
      <c r="E68" s="64">
        <f t="shared" si="26"/>
        <v>42105</v>
      </c>
      <c r="F68" s="65">
        <v>1</v>
      </c>
      <c r="G68" s="68"/>
      <c r="H68" s="65">
        <f t="shared" si="32"/>
        <v>0</v>
      </c>
      <c r="I68" s="78">
        <f t="shared" si="33"/>
        <v>0</v>
      </c>
      <c r="J68" s="65">
        <f t="shared" si="34"/>
        <v>1</v>
      </c>
      <c r="K68" s="77">
        <v>100</v>
      </c>
      <c r="Y68" s="33" t="s">
        <v>33</v>
      </c>
      <c r="IP68" s="81"/>
      <c r="IQ68" s="81"/>
      <c r="IR68" s="81"/>
      <c r="IS68" s="81"/>
      <c r="IT68" s="81"/>
      <c r="IU68" s="81"/>
      <c r="IV68" s="81"/>
    </row>
    <row r="69" spans="1:256" s="33" customFormat="1" ht="17.25" customHeight="1">
      <c r="A69" s="66" t="str">
        <f t="shared" ca="1" si="36"/>
        <v>1.2.3.5</v>
      </c>
      <c r="B69" s="110" t="s">
        <v>119</v>
      </c>
      <c r="C69" s="98" t="s">
        <v>160</v>
      </c>
      <c r="D69" s="64">
        <v>42105</v>
      </c>
      <c r="E69" s="64">
        <f t="shared" si="26"/>
        <v>42105</v>
      </c>
      <c r="F69" s="65">
        <v>1</v>
      </c>
      <c r="G69" s="68"/>
      <c r="H69" s="65">
        <f t="shared" si="32"/>
        <v>0</v>
      </c>
      <c r="I69" s="78">
        <f t="shared" si="33"/>
        <v>0</v>
      </c>
      <c r="J69" s="65">
        <f t="shared" si="34"/>
        <v>1</v>
      </c>
      <c r="K69" s="77">
        <v>100</v>
      </c>
      <c r="Y69" s="33" t="s">
        <v>33</v>
      </c>
      <c r="IP69" s="81"/>
      <c r="IQ69" s="81"/>
      <c r="IR69" s="81"/>
      <c r="IS69" s="81"/>
      <c r="IT69" s="81"/>
      <c r="IU69" s="81"/>
      <c r="IV69" s="81"/>
    </row>
    <row r="70" spans="1:256" s="33" customFormat="1" ht="17.25" customHeight="1">
      <c r="A70" s="66" t="str">
        <f t="shared" ca="1" si="36"/>
        <v>1.2.3.6</v>
      </c>
      <c r="B70" s="110" t="s">
        <v>110</v>
      </c>
      <c r="C70" s="98" t="s">
        <v>160</v>
      </c>
      <c r="D70" s="64">
        <v>42105</v>
      </c>
      <c r="E70" s="64">
        <f t="shared" si="26"/>
        <v>42105</v>
      </c>
      <c r="F70" s="65">
        <v>1</v>
      </c>
      <c r="G70" s="68"/>
      <c r="H70" s="65">
        <f t="shared" si="32"/>
        <v>0</v>
      </c>
      <c r="I70" s="78">
        <f t="shared" si="33"/>
        <v>0</v>
      </c>
      <c r="J70" s="65">
        <f t="shared" si="34"/>
        <v>1</v>
      </c>
      <c r="K70" s="77">
        <v>100</v>
      </c>
      <c r="Y70" s="33" t="s">
        <v>33</v>
      </c>
      <c r="IP70" s="81"/>
      <c r="IQ70" s="81"/>
      <c r="IR70" s="81"/>
      <c r="IS70" s="81"/>
      <c r="IT70" s="81"/>
      <c r="IU70" s="81"/>
      <c r="IV70" s="81"/>
    </row>
    <row r="71" spans="1:256" s="33" customFormat="1" ht="17.25" customHeight="1">
      <c r="A71" s="66" t="str">
        <f t="shared" ca="1" si="36"/>
        <v>1.2.3.7</v>
      </c>
      <c r="B71" s="110" t="s">
        <v>120</v>
      </c>
      <c r="C71" s="98" t="s">
        <v>160</v>
      </c>
      <c r="D71" s="64">
        <v>42105</v>
      </c>
      <c r="E71" s="64">
        <f t="shared" si="26"/>
        <v>42105</v>
      </c>
      <c r="F71" s="65">
        <v>1</v>
      </c>
      <c r="G71" s="68"/>
      <c r="H71" s="65">
        <f t="shared" si="32"/>
        <v>0</v>
      </c>
      <c r="I71" s="78">
        <f t="shared" si="33"/>
        <v>0</v>
      </c>
      <c r="J71" s="65">
        <f t="shared" si="34"/>
        <v>1</v>
      </c>
      <c r="K71" s="77">
        <v>100</v>
      </c>
      <c r="IP71" s="81"/>
      <c r="IQ71" s="81"/>
      <c r="IR71" s="81"/>
      <c r="IS71" s="81"/>
      <c r="IT71" s="81"/>
      <c r="IU71" s="81"/>
      <c r="IV71" s="81"/>
    </row>
    <row r="72" spans="1:256" s="33" customFormat="1" ht="17.25" customHeight="1">
      <c r="A72" s="66" t="str">
        <f t="shared" ca="1" si="37"/>
        <v>1.2.4</v>
      </c>
      <c r="B72" s="108" t="s">
        <v>121</v>
      </c>
      <c r="C72" s="98" t="s">
        <v>160</v>
      </c>
      <c r="D72" s="64">
        <v>42107</v>
      </c>
      <c r="E72" s="64">
        <f t="shared" si="26"/>
        <v>42107</v>
      </c>
      <c r="F72" s="65">
        <v>1</v>
      </c>
      <c r="G72" s="62">
        <f>SUMPRODUCT(F73:F80,G73:G80)/SUM(F73:F80)</f>
        <v>0</v>
      </c>
      <c r="H72" s="65">
        <f t="shared" si="32"/>
        <v>1</v>
      </c>
      <c r="I72" s="78">
        <f t="shared" si="33"/>
        <v>0</v>
      </c>
      <c r="J72" s="65">
        <f t="shared" si="34"/>
        <v>1</v>
      </c>
      <c r="K72" s="77">
        <v>100</v>
      </c>
      <c r="Y72" s="33" t="s">
        <v>33</v>
      </c>
      <c r="IP72" s="81"/>
      <c r="IQ72" s="81"/>
      <c r="IR72" s="81"/>
      <c r="IS72" s="81"/>
      <c r="IT72" s="81"/>
      <c r="IU72" s="81"/>
      <c r="IV72" s="81"/>
    </row>
    <row r="73" spans="1:256" s="33" customFormat="1" ht="17.25" customHeight="1">
      <c r="A73" s="66" t="str">
        <f t="shared" ca="1" si="36"/>
        <v>1.2.4.1</v>
      </c>
      <c r="B73" s="110" t="s">
        <v>122</v>
      </c>
      <c r="C73" s="98" t="s">
        <v>160</v>
      </c>
      <c r="D73" s="64">
        <v>42107</v>
      </c>
      <c r="E73" s="64">
        <f t="shared" si="26"/>
        <v>42107</v>
      </c>
      <c r="F73" s="65">
        <v>1</v>
      </c>
      <c r="G73" s="68"/>
      <c r="H73" s="65">
        <f t="shared" si="32"/>
        <v>1</v>
      </c>
      <c r="I73" s="78">
        <f t="shared" si="33"/>
        <v>0</v>
      </c>
      <c r="J73" s="65">
        <f t="shared" si="34"/>
        <v>1</v>
      </c>
      <c r="K73" s="77">
        <v>100</v>
      </c>
      <c r="Y73" s="33" t="s">
        <v>33</v>
      </c>
      <c r="IP73" s="81"/>
      <c r="IQ73" s="81"/>
      <c r="IR73" s="81"/>
      <c r="IS73" s="81"/>
      <c r="IT73" s="81"/>
      <c r="IU73" s="81"/>
      <c r="IV73" s="81"/>
    </row>
    <row r="74" spans="1:256" s="33" customFormat="1" ht="17.25" customHeight="1">
      <c r="A74" s="66" t="str">
        <f t="shared" ca="1" si="36"/>
        <v>1.2.4.2</v>
      </c>
      <c r="B74" s="110" t="s">
        <v>123</v>
      </c>
      <c r="C74" s="98" t="s">
        <v>160</v>
      </c>
      <c r="D74" s="64">
        <v>42107</v>
      </c>
      <c r="E74" s="64">
        <f t="shared" si="26"/>
        <v>42107</v>
      </c>
      <c r="F74" s="65">
        <v>1</v>
      </c>
      <c r="G74" s="68"/>
      <c r="H74" s="65">
        <f t="shared" si="32"/>
        <v>1</v>
      </c>
      <c r="I74" s="78">
        <f t="shared" si="33"/>
        <v>0</v>
      </c>
      <c r="J74" s="65">
        <f t="shared" si="34"/>
        <v>1</v>
      </c>
      <c r="K74" s="77">
        <v>100</v>
      </c>
      <c r="Y74" s="33" t="s">
        <v>33</v>
      </c>
      <c r="IP74" s="81"/>
      <c r="IQ74" s="81"/>
      <c r="IR74" s="81"/>
      <c r="IS74" s="81"/>
      <c r="IT74" s="81"/>
      <c r="IU74" s="81"/>
      <c r="IV74" s="81"/>
    </row>
    <row r="75" spans="1:256" s="33" customFormat="1" ht="17.25" customHeight="1">
      <c r="A75" s="66" t="str">
        <f t="shared" ca="1" si="36"/>
        <v>1.2.4.3</v>
      </c>
      <c r="B75" s="110" t="s">
        <v>124</v>
      </c>
      <c r="C75" s="98" t="s">
        <v>160</v>
      </c>
      <c r="D75" s="64">
        <v>42107</v>
      </c>
      <c r="E75" s="64">
        <f t="shared" si="26"/>
        <v>42107</v>
      </c>
      <c r="F75" s="65">
        <v>1</v>
      </c>
      <c r="G75" s="68"/>
      <c r="H75" s="65">
        <f t="shared" si="32"/>
        <v>1</v>
      </c>
      <c r="I75" s="78">
        <f t="shared" si="33"/>
        <v>0</v>
      </c>
      <c r="J75" s="65">
        <f t="shared" si="34"/>
        <v>1</v>
      </c>
      <c r="K75" s="77">
        <v>100</v>
      </c>
      <c r="Y75" s="33" t="s">
        <v>33</v>
      </c>
      <c r="IP75" s="81"/>
      <c r="IQ75" s="81"/>
      <c r="IR75" s="81"/>
      <c r="IS75" s="81"/>
      <c r="IT75" s="81"/>
      <c r="IU75" s="81"/>
      <c r="IV75" s="81"/>
    </row>
    <row r="76" spans="1:256" s="33" customFormat="1" ht="17.25" customHeight="1">
      <c r="A76" s="66" t="str">
        <f t="shared" ca="1" si="36"/>
        <v>1.2.4.4</v>
      </c>
      <c r="B76" s="110" t="s">
        <v>117</v>
      </c>
      <c r="C76" s="98" t="s">
        <v>160</v>
      </c>
      <c r="D76" s="64">
        <v>42107</v>
      </c>
      <c r="E76" s="64">
        <f t="shared" si="26"/>
        <v>42107</v>
      </c>
      <c r="F76" s="65">
        <v>1</v>
      </c>
      <c r="G76" s="68"/>
      <c r="H76" s="65">
        <f t="shared" ref="H76" si="38">NETWORKDAYS(D76,E76)</f>
        <v>1</v>
      </c>
      <c r="I76" s="78">
        <f t="shared" ref="I76" si="39">ROUNDDOWN(G76*F76,0)</f>
        <v>0</v>
      </c>
      <c r="J76" s="65">
        <f t="shared" ref="J76" si="40">F76-I76</f>
        <v>1</v>
      </c>
      <c r="K76" s="77">
        <v>100</v>
      </c>
      <c r="IP76" s="81"/>
      <c r="IQ76" s="81"/>
      <c r="IR76" s="81"/>
      <c r="IS76" s="81"/>
      <c r="IT76" s="81"/>
      <c r="IU76" s="81"/>
      <c r="IV76" s="81"/>
    </row>
    <row r="77" spans="1:256" s="33" customFormat="1" ht="17.25" customHeight="1">
      <c r="A77" s="66" t="str">
        <f t="shared" ca="1" si="36"/>
        <v>1.2.4.5</v>
      </c>
      <c r="B77" s="110" t="s">
        <v>118</v>
      </c>
      <c r="C77" s="98" t="s">
        <v>160</v>
      </c>
      <c r="D77" s="64">
        <v>42107</v>
      </c>
      <c r="E77" s="64">
        <f t="shared" si="26"/>
        <v>42107</v>
      </c>
      <c r="F77" s="65">
        <v>1</v>
      </c>
      <c r="G77" s="68"/>
      <c r="H77" s="65">
        <f>NETWORKDAYS(D77,E77)</f>
        <v>1</v>
      </c>
      <c r="I77" s="78">
        <f>ROUNDDOWN(G77*F77,0)</f>
        <v>0</v>
      </c>
      <c r="J77" s="65">
        <f>F77-I77</f>
        <v>1</v>
      </c>
      <c r="K77" s="77">
        <v>100</v>
      </c>
      <c r="IP77" s="81"/>
      <c r="IQ77" s="81"/>
      <c r="IR77" s="81"/>
      <c r="IS77" s="81"/>
      <c r="IT77" s="81"/>
      <c r="IU77" s="81"/>
      <c r="IV77" s="81"/>
    </row>
    <row r="78" spans="1:256" s="33" customFormat="1" ht="17.25" customHeight="1">
      <c r="A78" s="66" t="str">
        <f t="shared" ca="1" si="36"/>
        <v>1.2.4.6</v>
      </c>
      <c r="B78" s="110" t="s">
        <v>125</v>
      </c>
      <c r="C78" s="98" t="s">
        <v>160</v>
      </c>
      <c r="D78" s="64">
        <v>42107</v>
      </c>
      <c r="E78" s="64">
        <f t="shared" si="26"/>
        <v>42107</v>
      </c>
      <c r="F78" s="65">
        <v>1</v>
      </c>
      <c r="G78" s="68"/>
      <c r="H78" s="65">
        <f>NETWORKDAYS(D78,E78)</f>
        <v>1</v>
      </c>
      <c r="I78" s="78">
        <f>ROUNDDOWN(G78*F78,0)</f>
        <v>0</v>
      </c>
      <c r="J78" s="65">
        <f>F78-I78</f>
        <v>1</v>
      </c>
      <c r="K78" s="77">
        <v>100</v>
      </c>
      <c r="IP78" s="81"/>
      <c r="IQ78" s="81"/>
      <c r="IR78" s="81"/>
      <c r="IS78" s="81"/>
      <c r="IT78" s="81"/>
      <c r="IU78" s="81"/>
      <c r="IV78" s="81"/>
    </row>
    <row r="79" spans="1:256" s="33" customFormat="1" ht="17.25" customHeight="1">
      <c r="A79" s="66" t="str">
        <f t="shared" ca="1" si="36"/>
        <v>1.2.4.7</v>
      </c>
      <c r="B79" s="110" t="s">
        <v>110</v>
      </c>
      <c r="C79" s="98" t="s">
        <v>160</v>
      </c>
      <c r="D79" s="64">
        <v>42107</v>
      </c>
      <c r="E79" s="64">
        <f t="shared" si="26"/>
        <v>42107</v>
      </c>
      <c r="F79" s="65">
        <v>1</v>
      </c>
      <c r="G79" s="68"/>
      <c r="H79" s="65">
        <f>NETWORKDAYS(D79,E79)</f>
        <v>1</v>
      </c>
      <c r="I79" s="78">
        <f>ROUNDDOWN(G79*F79,0)</f>
        <v>0</v>
      </c>
      <c r="J79" s="65">
        <f>F79-I79</f>
        <v>1</v>
      </c>
      <c r="K79" s="77">
        <v>100</v>
      </c>
      <c r="IP79" s="81"/>
      <c r="IQ79" s="81"/>
      <c r="IR79" s="81"/>
      <c r="IS79" s="81"/>
      <c r="IT79" s="81"/>
      <c r="IU79" s="81"/>
      <c r="IV79" s="81"/>
    </row>
    <row r="80" spans="1:256" s="33" customFormat="1" ht="17.25" customHeight="1">
      <c r="A80" s="66" t="str">
        <f t="shared" ca="1" si="36"/>
        <v>1.2.4.8</v>
      </c>
      <c r="B80" s="110" t="s">
        <v>126</v>
      </c>
      <c r="C80" s="98" t="s">
        <v>160</v>
      </c>
      <c r="D80" s="64">
        <v>42107</v>
      </c>
      <c r="E80" s="64">
        <f t="shared" si="26"/>
        <v>42107</v>
      </c>
      <c r="F80" s="65">
        <v>1</v>
      </c>
      <c r="G80" s="68"/>
      <c r="H80" s="65">
        <f>NETWORKDAYS(D80,E80)</f>
        <v>1</v>
      </c>
      <c r="I80" s="78">
        <f>ROUNDDOWN(G80*F80,0)</f>
        <v>0</v>
      </c>
      <c r="J80" s="65">
        <f>F80-I80</f>
        <v>1</v>
      </c>
      <c r="K80" s="77">
        <v>100</v>
      </c>
      <c r="IP80" s="81"/>
      <c r="IQ80" s="81"/>
      <c r="IR80" s="81"/>
      <c r="IS80" s="81"/>
      <c r="IT80" s="81"/>
      <c r="IU80" s="81"/>
      <c r="IV80" s="81"/>
    </row>
    <row r="81" spans="1:256" s="33" customFormat="1" ht="17.25" customHeight="1">
      <c r="A81" s="66" t="str">
        <f t="shared" ca="1" si="37"/>
        <v>1.2.5</v>
      </c>
      <c r="B81" s="108" t="s">
        <v>127</v>
      </c>
      <c r="C81" s="98" t="s">
        <v>160</v>
      </c>
      <c r="D81" s="64">
        <v>42108</v>
      </c>
      <c r="E81" s="64">
        <f t="shared" si="26"/>
        <v>42108</v>
      </c>
      <c r="F81" s="65">
        <v>1</v>
      </c>
      <c r="G81" s="62">
        <f>SUMPRODUCT(F82:F87,G82:G87)/SUM(F82:F87)</f>
        <v>0</v>
      </c>
      <c r="H81" s="65">
        <f>NETWORKDAYS(D81,E81)</f>
        <v>1</v>
      </c>
      <c r="I81" s="78">
        <f>ROUNDDOWN(G81*F81,0)</f>
        <v>0</v>
      </c>
      <c r="J81" s="65">
        <f>F81-I81</f>
        <v>1</v>
      </c>
      <c r="K81" s="77">
        <v>100</v>
      </c>
      <c r="IP81" s="81"/>
      <c r="IQ81" s="81"/>
      <c r="IR81" s="81"/>
      <c r="IS81" s="81"/>
      <c r="IT81" s="81"/>
      <c r="IU81" s="81"/>
      <c r="IV81" s="81"/>
    </row>
    <row r="82" spans="1:256" s="33" customFormat="1" ht="17.25" customHeight="1">
      <c r="A82" s="66" t="str">
        <f t="shared" ca="1" si="36"/>
        <v>1.2.5.1</v>
      </c>
      <c r="B82" s="110" t="s">
        <v>128</v>
      </c>
      <c r="C82" s="98" t="s">
        <v>160</v>
      </c>
      <c r="D82" s="64">
        <v>42108</v>
      </c>
      <c r="E82" s="64">
        <f t="shared" si="26"/>
        <v>42108</v>
      </c>
      <c r="F82" s="65">
        <v>1</v>
      </c>
      <c r="G82" s="68"/>
      <c r="H82" s="65">
        <f t="shared" ref="H82:H89" si="41">NETWORKDAYS(D82,E82)</f>
        <v>1</v>
      </c>
      <c r="I82" s="78">
        <f t="shared" ref="I82:I89" si="42">ROUNDDOWN(G82*F82,0)</f>
        <v>0</v>
      </c>
      <c r="J82" s="65">
        <f t="shared" ref="J82:J89" si="43">F82-I82</f>
        <v>1</v>
      </c>
      <c r="K82" s="77">
        <v>100</v>
      </c>
      <c r="IP82" s="81"/>
      <c r="IQ82" s="81"/>
      <c r="IR82" s="81"/>
      <c r="IS82" s="81"/>
      <c r="IT82" s="81"/>
      <c r="IU82" s="81"/>
      <c r="IV82" s="81"/>
    </row>
    <row r="83" spans="1:256" s="33" customFormat="1" ht="17.25" customHeight="1">
      <c r="A83" s="66" t="str">
        <f t="shared" ca="1" si="36"/>
        <v>1.2.5.2</v>
      </c>
      <c r="B83" s="110" t="s">
        <v>129</v>
      </c>
      <c r="C83" s="98" t="s">
        <v>160</v>
      </c>
      <c r="D83" s="64">
        <v>42108</v>
      </c>
      <c r="E83" s="64">
        <f t="shared" si="26"/>
        <v>42108</v>
      </c>
      <c r="F83" s="65">
        <v>1</v>
      </c>
      <c r="G83" s="68"/>
      <c r="H83" s="65">
        <f t="shared" si="41"/>
        <v>1</v>
      </c>
      <c r="I83" s="78">
        <f t="shared" si="42"/>
        <v>0</v>
      </c>
      <c r="J83" s="65">
        <f t="shared" si="43"/>
        <v>1</v>
      </c>
      <c r="K83" s="77">
        <v>100</v>
      </c>
      <c r="IP83" s="81"/>
      <c r="IQ83" s="81"/>
      <c r="IR83" s="81"/>
      <c r="IS83" s="81"/>
      <c r="IT83" s="81"/>
      <c r="IU83" s="81"/>
      <c r="IV83" s="81"/>
    </row>
    <row r="84" spans="1:256" s="33" customFormat="1" ht="17.25" customHeight="1">
      <c r="A84" s="66" t="str">
        <f t="shared" ca="1" si="36"/>
        <v>1.2.5.3</v>
      </c>
      <c r="B84" s="110" t="s">
        <v>130</v>
      </c>
      <c r="C84" s="98" t="s">
        <v>160</v>
      </c>
      <c r="D84" s="64">
        <v>42108</v>
      </c>
      <c r="E84" s="64">
        <f t="shared" si="26"/>
        <v>42108</v>
      </c>
      <c r="F84" s="65">
        <v>1</v>
      </c>
      <c r="G84" s="68"/>
      <c r="H84" s="65">
        <f t="shared" si="41"/>
        <v>1</v>
      </c>
      <c r="I84" s="78">
        <f t="shared" si="42"/>
        <v>0</v>
      </c>
      <c r="J84" s="65">
        <f t="shared" si="43"/>
        <v>1</v>
      </c>
      <c r="K84" s="77">
        <v>100</v>
      </c>
      <c r="IP84" s="81"/>
      <c r="IQ84" s="81"/>
      <c r="IR84" s="81"/>
      <c r="IS84" s="81"/>
      <c r="IT84" s="81"/>
      <c r="IU84" s="81"/>
      <c r="IV84" s="81"/>
    </row>
    <row r="85" spans="1:256" s="33" customFormat="1" ht="17.25" customHeight="1">
      <c r="A85" s="66" t="str">
        <f t="shared" ca="1" si="36"/>
        <v>1.2.5.4</v>
      </c>
      <c r="B85" s="110" t="s">
        <v>131</v>
      </c>
      <c r="C85" s="98" t="s">
        <v>160</v>
      </c>
      <c r="D85" s="64">
        <v>42108</v>
      </c>
      <c r="E85" s="64">
        <f t="shared" ref="E85:E111" si="44">D85+F85-1</f>
        <v>42108</v>
      </c>
      <c r="F85" s="65">
        <v>1</v>
      </c>
      <c r="G85" s="68"/>
      <c r="H85" s="65">
        <f t="shared" si="41"/>
        <v>1</v>
      </c>
      <c r="I85" s="78">
        <f t="shared" si="42"/>
        <v>0</v>
      </c>
      <c r="J85" s="65">
        <f t="shared" si="43"/>
        <v>1</v>
      </c>
      <c r="K85" s="77">
        <v>100</v>
      </c>
      <c r="IP85" s="81"/>
      <c r="IQ85" s="81"/>
      <c r="IR85" s="81"/>
      <c r="IS85" s="81"/>
      <c r="IT85" s="81"/>
      <c r="IU85" s="81"/>
      <c r="IV85" s="81"/>
    </row>
    <row r="86" spans="1:256" s="33" customFormat="1" ht="17.25" customHeight="1">
      <c r="A86" s="66" t="str">
        <f t="shared" ca="1" si="36"/>
        <v>1.2.5.5</v>
      </c>
      <c r="B86" s="110" t="s">
        <v>132</v>
      </c>
      <c r="C86" s="98" t="s">
        <v>160</v>
      </c>
      <c r="D86" s="64">
        <v>42108</v>
      </c>
      <c r="E86" s="64">
        <f t="shared" si="44"/>
        <v>42108</v>
      </c>
      <c r="F86" s="65">
        <v>1</v>
      </c>
      <c r="G86" s="68"/>
      <c r="H86" s="65">
        <f t="shared" si="41"/>
        <v>1</v>
      </c>
      <c r="I86" s="78">
        <f t="shared" si="42"/>
        <v>0</v>
      </c>
      <c r="J86" s="65">
        <f t="shared" si="43"/>
        <v>1</v>
      </c>
      <c r="K86" s="77">
        <v>100</v>
      </c>
      <c r="IP86" s="81"/>
      <c r="IQ86" s="81"/>
      <c r="IR86" s="81"/>
      <c r="IS86" s="81"/>
      <c r="IT86" s="81"/>
      <c r="IU86" s="81"/>
      <c r="IV86" s="81"/>
    </row>
    <row r="87" spans="1:256" s="33" customFormat="1" ht="17.25" customHeight="1">
      <c r="A87" s="66" t="str">
        <f t="shared" ca="1" si="36"/>
        <v>1.2.5.6</v>
      </c>
      <c r="B87" s="110" t="s">
        <v>133</v>
      </c>
      <c r="C87" s="98" t="s">
        <v>160</v>
      </c>
      <c r="D87" s="64">
        <v>42108</v>
      </c>
      <c r="E87" s="64">
        <f t="shared" si="44"/>
        <v>42108</v>
      </c>
      <c r="F87" s="65">
        <v>1</v>
      </c>
      <c r="G87" s="68"/>
      <c r="H87" s="65">
        <f t="shared" si="41"/>
        <v>1</v>
      </c>
      <c r="I87" s="78">
        <f t="shared" si="42"/>
        <v>0</v>
      </c>
      <c r="J87" s="65">
        <f t="shared" si="43"/>
        <v>1</v>
      </c>
      <c r="K87" s="77">
        <v>100</v>
      </c>
      <c r="IP87" s="81"/>
      <c r="IQ87" s="81"/>
      <c r="IR87" s="81"/>
      <c r="IS87" s="81"/>
      <c r="IT87" s="81"/>
      <c r="IU87" s="81"/>
      <c r="IV87" s="81"/>
    </row>
    <row r="88" spans="1:256" s="33" customFormat="1" ht="17.25" customHeight="1">
      <c r="A88" s="59">
        <f ca="1">IF(ISERROR(VALUE(SUBSTITUTE(OFFSET(A88,-1,0,1,1),".",""))),1,IF(ISERROR(FIND("`",SUBSTITUTE(OFFSET(A88,-1,0,1,1),".","`",1))),VALUE(OFFSET(A88,-1,0,1,1))+1,VALUE(LEFT(OFFSET(A88,-1,0,1,1),FIND("`",SUBSTITUTE(OFFSET(A88,-1,0,1,1),".","`",1))-1))+1))</f>
        <v>2</v>
      </c>
      <c r="B88" s="105" t="s">
        <v>136</v>
      </c>
      <c r="C88" s="104" t="s">
        <v>31</v>
      </c>
      <c r="D88" s="64">
        <v>42104</v>
      </c>
      <c r="E88" s="64">
        <f t="shared" si="44"/>
        <v>42143</v>
      </c>
      <c r="F88" s="65">
        <v>40</v>
      </c>
      <c r="G88" s="68"/>
      <c r="H88" s="65">
        <f t="shared" si="41"/>
        <v>28</v>
      </c>
      <c r="I88" s="78">
        <f t="shared" si="42"/>
        <v>0</v>
      </c>
      <c r="J88" s="65">
        <f t="shared" si="43"/>
        <v>40</v>
      </c>
      <c r="K88" s="77">
        <v>100</v>
      </c>
      <c r="IP88" s="81"/>
      <c r="IQ88" s="81"/>
      <c r="IR88" s="81"/>
      <c r="IS88" s="81"/>
      <c r="IT88" s="81"/>
      <c r="IU88" s="81"/>
      <c r="IV88" s="81"/>
    </row>
    <row r="89" spans="1:256" s="33" customFormat="1" ht="17.25" customHeight="1">
      <c r="A89" s="63" t="str">
        <f ca="1">IF(ISERROR(VALUE(SUBSTITUTE(OFFSET(A89,-1,0,1,1),".",""))),"0.1",IF(ISERROR(FIND("`",SUBSTITUTE(OFFSET(A89,-1,0,1,1),".","`",1))),OFFSET(A89,-1,0,1,1)&amp;".1",LEFT(OFFSET(A89,-1,0,1,1),FIND("`",SUBSTITUTE(OFFSET(A89,-1,0,1,1),".","`",1)))&amp;IF(ISERROR(FIND("`",SUBSTITUTE(OFFSET(A89,-1,0,1,1),".","`",2))),VALUE(RIGHT(OFFSET(A89,-1,0,1,1),LEN(OFFSET(A89,-1,0,1,1))-FIND("`",SUBSTITUTE(OFFSET(A89,-1,0,1,1),".","`",1))))+1,VALUE(MID(OFFSET(A89,-1,0,1,1),FIND("`",SUBSTITUTE(OFFSET(A89,-1,0,1,1),".","`",1))+1,(FIND("`",SUBSTITUTE(OFFSET(A89,-1,0,1,1),".","`",2))-FIND("`",SUBSTITUTE(OFFSET(A89,-1,0,1,1),".","`",1))-1)))+1)))</f>
        <v>2.1</v>
      </c>
      <c r="B89" s="105" t="s">
        <v>152</v>
      </c>
      <c r="C89" s="99"/>
      <c r="D89" s="64">
        <v>42104</v>
      </c>
      <c r="E89" s="64">
        <f t="shared" si="44"/>
        <v>42119</v>
      </c>
      <c r="F89" s="65">
        <v>16</v>
      </c>
      <c r="G89" s="68"/>
      <c r="H89" s="65">
        <f t="shared" si="41"/>
        <v>11</v>
      </c>
      <c r="I89" s="78">
        <f t="shared" si="42"/>
        <v>0</v>
      </c>
      <c r="J89" s="65">
        <f t="shared" si="43"/>
        <v>16</v>
      </c>
      <c r="K89" s="77">
        <v>100</v>
      </c>
      <c r="IP89" s="81"/>
      <c r="IQ89" s="81"/>
      <c r="IR89" s="81"/>
      <c r="IS89" s="81"/>
      <c r="IT89" s="81"/>
      <c r="IU89" s="81"/>
      <c r="IV89" s="81"/>
    </row>
    <row r="90" spans="1:256" s="33" customFormat="1" ht="17.25" customHeight="1">
      <c r="A90" s="66" t="str">
        <f ca="1">IF(ISERROR(VALUE(SUBSTITUTE(OFFSET(A90,-1,0,1,1),".",""))),"0.0.1",IF(ISERROR(FIND("`",SUBSTITUTE(OFFSET(A90,-1,0,1,1),".","`",2))),OFFSET(A90,-1,0,1,1)&amp;".1",LEFT(OFFSET(A90,-1,0,1,1),FIND("`",SUBSTITUTE(OFFSET(A90,-1,0,1,1),".","`",2)))&amp;IF(ISERROR(FIND("`",SUBSTITUTE(OFFSET(A90,-1,0,1,1),".","`",3))),VALUE(RIGHT(OFFSET(A90,-1,0,1,1),LEN(OFFSET(A90,-1,0,1,1))-FIND("`",SUBSTITUTE(OFFSET(A90,-1,0,1,1),".","`",2))))+1,VALUE(MID(OFFSET(A90,-1,0,1,1),FIND("`",SUBSTITUTE(OFFSET(A90,-1,0,1,1),".","`",2))+1,(FIND("`",SUBSTITUTE(OFFSET(A90,-1,0,1,1),".","`",3))-FIND("`",SUBSTITUTE(OFFSET(A90,-1,0,1,1),".","`",2))-1)))+1)))</f>
        <v>2.1.1</v>
      </c>
      <c r="B90" s="107" t="s">
        <v>101</v>
      </c>
      <c r="C90" s="99"/>
      <c r="D90" s="64">
        <v>42104</v>
      </c>
      <c r="E90" s="64">
        <f t="shared" si="44"/>
        <v>42108</v>
      </c>
      <c r="F90" s="65">
        <v>5</v>
      </c>
      <c r="G90" s="68"/>
      <c r="H90" s="65">
        <f t="shared" ref="H90:H152" si="45">NETWORKDAYS(D90,E90)</f>
        <v>3</v>
      </c>
      <c r="I90" s="78">
        <f t="shared" ref="I90:I152" si="46">ROUNDDOWN(G90*F90,0)</f>
        <v>0</v>
      </c>
      <c r="J90" s="65">
        <f t="shared" ref="J90:J152" si="47">F90-I90</f>
        <v>5</v>
      </c>
      <c r="K90" s="77">
        <v>100</v>
      </c>
      <c r="IP90" s="81"/>
      <c r="IQ90" s="81"/>
      <c r="IR90" s="81"/>
      <c r="IS90" s="81"/>
      <c r="IT90" s="81"/>
      <c r="IU90" s="81"/>
      <c r="IV90" s="81"/>
    </row>
    <row r="91" spans="1:256" s="33" customFormat="1" ht="17.25" customHeight="1">
      <c r="A91" s="66" t="str">
        <f t="shared" ref="A91:A165" ca="1" si="48">IF(ISERROR(VALUE(SUBSTITUTE(OFFSET(A91,-1,0,1,1),".",""))),"0.0.0.1",IF(ISERROR(FIND("`",SUBSTITUTE(OFFSET(A91,-1,0,1,1),".","`",3))),OFFSET(A91,-1,0,1,1)&amp;".1",LEFT(OFFSET(A91,-1,0,1,1),FIND("`",SUBSTITUTE(OFFSET(A91,-1,0,1,1),".","`",3)))&amp;IF(ISERROR(FIND("`",SUBSTITUTE(OFFSET(A91,-1,0,1,1),".","`",4))),VALUE(RIGHT(OFFSET(A91,-1,0,1,1),LEN(OFFSET(A91,-1,0,1,1))-FIND("`",SUBSTITUTE(OFFSET(A91,-1,0,1,1),".","`",3))))+1,VALUE(MID(OFFSET(A91,-1,0,1,1),FIND("`",SUBSTITUTE(OFFSET(A91,-1,0,1,1),".","`",3))+1,(FIND("`",SUBSTITUTE(OFFSET(A91,-1,0,1,1),".","`",4))-FIND("`",SUBSTITUTE(OFFSET(A91,-1,0,1,1),".","`",3))-1)))+1)))</f>
        <v>2.1.1.1</v>
      </c>
      <c r="B91" s="109" t="s">
        <v>102</v>
      </c>
      <c r="C91" s="104" t="s">
        <v>167</v>
      </c>
      <c r="D91" s="64">
        <v>42104</v>
      </c>
      <c r="E91" s="64">
        <f t="shared" si="44"/>
        <v>42108</v>
      </c>
      <c r="F91" s="65">
        <v>5</v>
      </c>
      <c r="G91" s="68"/>
      <c r="H91" s="65">
        <f t="shared" si="45"/>
        <v>3</v>
      </c>
      <c r="I91" s="78">
        <f t="shared" si="46"/>
        <v>0</v>
      </c>
      <c r="J91" s="65">
        <f t="shared" si="47"/>
        <v>5</v>
      </c>
      <c r="K91" s="77">
        <v>100</v>
      </c>
      <c r="IP91" s="81"/>
      <c r="IQ91" s="81"/>
      <c r="IR91" s="81"/>
      <c r="IS91" s="81"/>
      <c r="IT91" s="81"/>
      <c r="IU91" s="81"/>
      <c r="IV91" s="81"/>
    </row>
    <row r="92" spans="1:256" s="33" customFormat="1" ht="17.25" customHeight="1">
      <c r="A92" s="66" t="str">
        <f t="shared" ca="1" si="48"/>
        <v>2.1.1.2</v>
      </c>
      <c r="B92" s="110" t="s">
        <v>150</v>
      </c>
      <c r="C92" s="104" t="s">
        <v>155</v>
      </c>
      <c r="D92" s="64">
        <v>42104</v>
      </c>
      <c r="E92" s="64">
        <f t="shared" si="44"/>
        <v>42105</v>
      </c>
      <c r="F92" s="65">
        <v>2</v>
      </c>
      <c r="G92" s="68"/>
      <c r="H92" s="65">
        <f t="shared" si="45"/>
        <v>1</v>
      </c>
      <c r="I92" s="78">
        <f t="shared" si="46"/>
        <v>0</v>
      </c>
      <c r="J92" s="65">
        <f t="shared" si="47"/>
        <v>2</v>
      </c>
      <c r="K92" s="77">
        <v>300</v>
      </c>
      <c r="IP92" s="81"/>
      <c r="IQ92" s="81"/>
      <c r="IR92" s="81"/>
      <c r="IS92" s="81"/>
      <c r="IT92" s="81"/>
      <c r="IU92" s="81"/>
      <c r="IV92" s="81"/>
    </row>
    <row r="93" spans="1:256" s="33" customFormat="1" ht="17.25" customHeight="1">
      <c r="A93" s="66" t="str">
        <f t="shared" ca="1" si="48"/>
        <v>2.1.1.3</v>
      </c>
      <c r="B93" s="110" t="s">
        <v>104</v>
      </c>
      <c r="C93" s="104" t="s">
        <v>155</v>
      </c>
      <c r="D93" s="64">
        <v>42106</v>
      </c>
      <c r="E93" s="64">
        <f t="shared" si="44"/>
        <v>42108</v>
      </c>
      <c r="F93" s="65">
        <v>3</v>
      </c>
      <c r="G93" s="68"/>
      <c r="H93" s="65">
        <f t="shared" si="45"/>
        <v>2</v>
      </c>
      <c r="I93" s="78">
        <f t="shared" si="46"/>
        <v>0</v>
      </c>
      <c r="J93" s="65">
        <f t="shared" si="47"/>
        <v>3</v>
      </c>
      <c r="K93" s="77">
        <v>100</v>
      </c>
      <c r="IP93" s="81"/>
      <c r="IQ93" s="81"/>
      <c r="IR93" s="81"/>
      <c r="IS93" s="81"/>
      <c r="IT93" s="81"/>
      <c r="IU93" s="81"/>
      <c r="IV93" s="81"/>
    </row>
    <row r="94" spans="1:256" s="33" customFormat="1" ht="17.25" customHeight="1">
      <c r="A94" s="66" t="str">
        <f t="shared" ca="1" si="48"/>
        <v>2.1.1.4</v>
      </c>
      <c r="B94" s="110" t="s">
        <v>106</v>
      </c>
      <c r="C94" s="104" t="s">
        <v>156</v>
      </c>
      <c r="D94" s="64">
        <v>42104</v>
      </c>
      <c r="E94" s="64">
        <f t="shared" si="44"/>
        <v>42105</v>
      </c>
      <c r="F94" s="65">
        <v>2</v>
      </c>
      <c r="G94" s="68"/>
      <c r="H94" s="65">
        <f t="shared" si="45"/>
        <v>1</v>
      </c>
      <c r="I94" s="78">
        <f t="shared" si="46"/>
        <v>0</v>
      </c>
      <c r="J94" s="65">
        <f t="shared" si="47"/>
        <v>2</v>
      </c>
      <c r="K94" s="77">
        <v>100</v>
      </c>
      <c r="IP94" s="81"/>
      <c r="IQ94" s="81"/>
      <c r="IR94" s="81"/>
      <c r="IS94" s="81"/>
      <c r="IT94" s="81"/>
      <c r="IU94" s="81"/>
      <c r="IV94" s="81"/>
    </row>
    <row r="95" spans="1:256" s="33" customFormat="1" ht="17.25" customHeight="1">
      <c r="A95" s="66" t="str">
        <f ca="1">IF(ISERROR(VALUE(SUBSTITUTE(OFFSET(A95,-1,0,1,1),".",""))),"0.0.1",IF(ISERROR(FIND("`",SUBSTITUTE(OFFSET(A95,-1,0,1,1),".","`",2))),OFFSET(A95,-1,0,1,1)&amp;".1",LEFT(OFFSET(A95,-1,0,1,1),FIND("`",SUBSTITUTE(OFFSET(A95,-1,0,1,1),".","`",2)))&amp;IF(ISERROR(FIND("`",SUBSTITUTE(OFFSET(A95,-1,0,1,1),".","`",3))),VALUE(RIGHT(OFFSET(A95,-1,0,1,1),LEN(OFFSET(A95,-1,0,1,1))-FIND("`",SUBSTITUTE(OFFSET(A95,-1,0,1,1),".","`",2))))+1,VALUE(MID(OFFSET(A95,-1,0,1,1),FIND("`",SUBSTITUTE(OFFSET(A95,-1,0,1,1),".","`",2))+1,(FIND("`",SUBSTITUTE(OFFSET(A95,-1,0,1,1),".","`",3))-FIND("`",SUBSTITUTE(OFFSET(A95,-1,0,1,1),".","`",2))-1)))+1)))</f>
        <v>2.1.2</v>
      </c>
      <c r="B95" s="107" t="s">
        <v>105</v>
      </c>
      <c r="C95" s="104" t="s">
        <v>159</v>
      </c>
      <c r="D95" s="64">
        <v>42106</v>
      </c>
      <c r="E95" s="64">
        <f t="shared" si="44"/>
        <v>42111</v>
      </c>
      <c r="F95" s="65">
        <v>6</v>
      </c>
      <c r="G95" s="68"/>
      <c r="H95" s="65">
        <f t="shared" si="45"/>
        <v>5</v>
      </c>
      <c r="I95" s="78">
        <f t="shared" si="46"/>
        <v>0</v>
      </c>
      <c r="J95" s="65">
        <f t="shared" si="47"/>
        <v>6</v>
      </c>
      <c r="K95" s="77">
        <v>100</v>
      </c>
      <c r="IP95" s="81"/>
      <c r="IQ95" s="81"/>
      <c r="IR95" s="81"/>
      <c r="IS95" s="81"/>
      <c r="IT95" s="81"/>
      <c r="IU95" s="81"/>
      <c r="IV95" s="81"/>
    </row>
    <row r="96" spans="1:256" s="33" customFormat="1" ht="17.25" customHeight="1">
      <c r="A96" s="66" t="str">
        <f t="shared" ca="1" si="48"/>
        <v>2.1.2.1</v>
      </c>
      <c r="B96" s="110" t="s">
        <v>107</v>
      </c>
      <c r="C96" s="99"/>
      <c r="D96" s="64"/>
      <c r="E96" s="64"/>
      <c r="F96" s="65"/>
      <c r="G96" s="68"/>
      <c r="H96" s="65">
        <f t="shared" si="45"/>
        <v>0</v>
      </c>
      <c r="I96" s="78">
        <f t="shared" si="46"/>
        <v>0</v>
      </c>
      <c r="J96" s="65">
        <f t="shared" si="47"/>
        <v>0</v>
      </c>
      <c r="K96" s="77">
        <v>100</v>
      </c>
      <c r="IP96" s="81"/>
      <c r="IQ96" s="81"/>
      <c r="IR96" s="81"/>
      <c r="IS96" s="81"/>
      <c r="IT96" s="81"/>
      <c r="IU96" s="81"/>
      <c r="IV96" s="81"/>
    </row>
    <row r="97" spans="1:256" s="33" customFormat="1" ht="17.25" customHeight="1">
      <c r="A97" s="66" t="str">
        <f t="shared" ca="1" si="48"/>
        <v>2.1.2.2</v>
      </c>
      <c r="B97" s="110" t="s">
        <v>108</v>
      </c>
      <c r="C97" s="99"/>
      <c r="D97" s="64"/>
      <c r="E97" s="64"/>
      <c r="F97" s="65"/>
      <c r="G97" s="68"/>
      <c r="H97" s="65">
        <f t="shared" si="45"/>
        <v>0</v>
      </c>
      <c r="I97" s="78">
        <f t="shared" si="46"/>
        <v>0</v>
      </c>
      <c r="J97" s="65">
        <f t="shared" si="47"/>
        <v>0</v>
      </c>
      <c r="K97" s="77">
        <v>100</v>
      </c>
      <c r="IP97" s="81"/>
      <c r="IQ97" s="81"/>
      <c r="IR97" s="81"/>
      <c r="IS97" s="81"/>
      <c r="IT97" s="81"/>
      <c r="IU97" s="81"/>
      <c r="IV97" s="81"/>
    </row>
    <row r="98" spans="1:256" s="33" customFormat="1" ht="17.25" customHeight="1">
      <c r="A98" s="66" t="str">
        <f t="shared" ca="1" si="48"/>
        <v>2.1.2.3</v>
      </c>
      <c r="B98" s="110" t="s">
        <v>109</v>
      </c>
      <c r="C98" s="99"/>
      <c r="D98" s="64"/>
      <c r="E98" s="64"/>
      <c r="F98" s="65"/>
      <c r="G98" s="68"/>
      <c r="H98" s="65">
        <f t="shared" si="45"/>
        <v>0</v>
      </c>
      <c r="I98" s="78">
        <f t="shared" si="46"/>
        <v>0</v>
      </c>
      <c r="J98" s="65">
        <f t="shared" si="47"/>
        <v>0</v>
      </c>
      <c r="K98" s="77">
        <v>100</v>
      </c>
      <c r="IP98" s="81"/>
      <c r="IQ98" s="81"/>
      <c r="IR98" s="81"/>
      <c r="IS98" s="81"/>
      <c r="IT98" s="81"/>
      <c r="IU98" s="81"/>
      <c r="IV98" s="81"/>
    </row>
    <row r="99" spans="1:256" s="33" customFormat="1" ht="17.25" customHeight="1">
      <c r="A99" s="66" t="str">
        <f t="shared" ca="1" si="48"/>
        <v>2.1.2.4</v>
      </c>
      <c r="B99" s="110" t="s">
        <v>110</v>
      </c>
      <c r="C99" s="99"/>
      <c r="D99" s="64"/>
      <c r="E99" s="64"/>
      <c r="F99" s="65"/>
      <c r="G99" s="68"/>
      <c r="H99" s="65">
        <f t="shared" si="45"/>
        <v>0</v>
      </c>
      <c r="I99" s="78">
        <f t="shared" si="46"/>
        <v>0</v>
      </c>
      <c r="J99" s="65">
        <f t="shared" si="47"/>
        <v>0</v>
      </c>
      <c r="K99" s="77">
        <v>100</v>
      </c>
      <c r="IP99" s="81"/>
      <c r="IQ99" s="81"/>
      <c r="IR99" s="81"/>
      <c r="IS99" s="81"/>
      <c r="IT99" s="81"/>
      <c r="IU99" s="81"/>
      <c r="IV99" s="81"/>
    </row>
    <row r="100" spans="1:256" s="33" customFormat="1" ht="17.25" customHeight="1">
      <c r="A100" s="66" t="str">
        <f t="shared" ca="1" si="48"/>
        <v>2.1.2.5</v>
      </c>
      <c r="B100" s="110" t="s">
        <v>111</v>
      </c>
      <c r="C100" s="99"/>
      <c r="D100" s="64"/>
      <c r="E100" s="64"/>
      <c r="F100" s="65"/>
      <c r="G100" s="68"/>
      <c r="H100" s="65">
        <f t="shared" si="45"/>
        <v>0</v>
      </c>
      <c r="I100" s="78">
        <f t="shared" si="46"/>
        <v>0</v>
      </c>
      <c r="J100" s="65">
        <f t="shared" si="47"/>
        <v>0</v>
      </c>
      <c r="K100" s="77">
        <v>100</v>
      </c>
      <c r="IP100" s="81"/>
      <c r="IQ100" s="81"/>
      <c r="IR100" s="81"/>
      <c r="IS100" s="81"/>
      <c r="IT100" s="81"/>
      <c r="IU100" s="81"/>
      <c r="IV100" s="81"/>
    </row>
    <row r="101" spans="1:256" s="33" customFormat="1" ht="17.25" customHeight="1">
      <c r="A101" s="66" t="str">
        <f t="shared" ca="1" si="48"/>
        <v>2.1.2.6</v>
      </c>
      <c r="B101" s="110" t="s">
        <v>112</v>
      </c>
      <c r="C101" s="99"/>
      <c r="D101" s="64"/>
      <c r="E101" s="64"/>
      <c r="F101" s="65"/>
      <c r="G101" s="68"/>
      <c r="H101" s="65">
        <f t="shared" si="45"/>
        <v>0</v>
      </c>
      <c r="I101" s="78">
        <f t="shared" si="46"/>
        <v>0</v>
      </c>
      <c r="J101" s="65">
        <f t="shared" si="47"/>
        <v>0</v>
      </c>
      <c r="K101" s="77">
        <v>100</v>
      </c>
      <c r="IP101" s="81"/>
      <c r="IQ101" s="81"/>
      <c r="IR101" s="81"/>
      <c r="IS101" s="81"/>
      <c r="IT101" s="81"/>
      <c r="IU101" s="81"/>
      <c r="IV101" s="81"/>
    </row>
    <row r="102" spans="1:256" s="33" customFormat="1" ht="17.25" customHeight="1">
      <c r="A102" s="66" t="str">
        <f t="shared" ca="1" si="48"/>
        <v>2.1.2.7</v>
      </c>
      <c r="B102" s="110" t="s">
        <v>113</v>
      </c>
      <c r="C102" s="99"/>
      <c r="D102" s="64"/>
      <c r="E102" s="64"/>
      <c r="F102" s="65"/>
      <c r="G102" s="68"/>
      <c r="H102" s="65">
        <f t="shared" si="45"/>
        <v>0</v>
      </c>
      <c r="I102" s="78">
        <f t="shared" si="46"/>
        <v>0</v>
      </c>
      <c r="J102" s="65">
        <f t="shared" si="47"/>
        <v>0</v>
      </c>
      <c r="K102" s="77">
        <v>100</v>
      </c>
      <c r="IP102" s="81"/>
      <c r="IQ102" s="81"/>
      <c r="IR102" s="81"/>
      <c r="IS102" s="81"/>
      <c r="IT102" s="81"/>
      <c r="IU102" s="81"/>
      <c r="IV102" s="81"/>
    </row>
    <row r="103" spans="1:256" s="33" customFormat="1" ht="17.25" customHeight="1">
      <c r="A103" s="66" t="str">
        <f ca="1">IF(ISERROR(VALUE(SUBSTITUTE(OFFSET(A103,-1,0,1,1),".",""))),"0.0.1",IF(ISERROR(FIND("`",SUBSTITUTE(OFFSET(A103,-1,0,1,1),".","`",2))),OFFSET(A103,-1,0,1,1)&amp;".1",LEFT(OFFSET(A103,-1,0,1,1),FIND("`",SUBSTITUTE(OFFSET(A103,-1,0,1,1),".","`",2)))&amp;IF(ISERROR(FIND("`",SUBSTITUTE(OFFSET(A103,-1,0,1,1),".","`",3))),VALUE(RIGHT(OFFSET(A103,-1,0,1,1),LEN(OFFSET(A103,-1,0,1,1))-FIND("`",SUBSTITUTE(OFFSET(A103,-1,0,1,1),".","`",2))))+1,VALUE(MID(OFFSET(A103,-1,0,1,1),FIND("`",SUBSTITUTE(OFFSET(A103,-1,0,1,1),".","`",2))+1,(FIND("`",SUBSTITUTE(OFFSET(A103,-1,0,1,1),".","`",3))-FIND("`",SUBSTITUTE(OFFSET(A103,-1,0,1,1),".","`",2))-1)))+1)))</f>
        <v>2.1.3</v>
      </c>
      <c r="B103" s="108" t="s">
        <v>114</v>
      </c>
      <c r="C103" s="104" t="s">
        <v>158</v>
      </c>
      <c r="D103" s="64">
        <v>42114</v>
      </c>
      <c r="E103" s="64">
        <f t="shared" si="44"/>
        <v>42118</v>
      </c>
      <c r="F103" s="65">
        <v>5</v>
      </c>
      <c r="G103" s="68"/>
      <c r="H103" s="65">
        <f t="shared" si="45"/>
        <v>5</v>
      </c>
      <c r="I103" s="78">
        <f t="shared" si="46"/>
        <v>0</v>
      </c>
      <c r="J103" s="65">
        <f t="shared" si="47"/>
        <v>5</v>
      </c>
      <c r="K103" s="77">
        <v>100</v>
      </c>
      <c r="IP103" s="81"/>
      <c r="IQ103" s="81"/>
      <c r="IR103" s="81"/>
      <c r="IS103" s="81"/>
      <c r="IT103" s="81"/>
      <c r="IU103" s="81"/>
      <c r="IV103" s="81"/>
    </row>
    <row r="104" spans="1:256" s="33" customFormat="1" ht="17.25" customHeight="1">
      <c r="A104" s="66" t="str">
        <f t="shared" ca="1" si="48"/>
        <v>2.1.3.1</v>
      </c>
      <c r="B104" s="110" t="s">
        <v>115</v>
      </c>
      <c r="C104" s="99"/>
      <c r="D104" s="64"/>
      <c r="E104" s="64"/>
      <c r="F104" s="65"/>
      <c r="G104" s="68"/>
      <c r="H104" s="65">
        <f t="shared" si="45"/>
        <v>0</v>
      </c>
      <c r="I104" s="78">
        <f t="shared" si="46"/>
        <v>0</v>
      </c>
      <c r="J104" s="65">
        <f t="shared" si="47"/>
        <v>0</v>
      </c>
      <c r="K104" s="77">
        <v>100</v>
      </c>
      <c r="IP104" s="81"/>
      <c r="IQ104" s="81"/>
      <c r="IR104" s="81"/>
      <c r="IS104" s="81"/>
      <c r="IT104" s="81"/>
      <c r="IU104" s="81"/>
      <c r="IV104" s="81"/>
    </row>
    <row r="105" spans="1:256" s="33" customFormat="1" ht="17.25" customHeight="1">
      <c r="A105" s="66" t="str">
        <f t="shared" ca="1" si="48"/>
        <v>2.1.3.2</v>
      </c>
      <c r="B105" s="110" t="s">
        <v>116</v>
      </c>
      <c r="C105" s="99"/>
      <c r="D105" s="64"/>
      <c r="E105" s="64"/>
      <c r="F105" s="65"/>
      <c r="G105" s="68"/>
      <c r="H105" s="65">
        <f t="shared" si="45"/>
        <v>0</v>
      </c>
      <c r="I105" s="78">
        <f t="shared" si="46"/>
        <v>0</v>
      </c>
      <c r="J105" s="65">
        <f t="shared" si="47"/>
        <v>0</v>
      </c>
      <c r="K105" s="77">
        <v>100</v>
      </c>
      <c r="IP105" s="81"/>
      <c r="IQ105" s="81"/>
      <c r="IR105" s="81"/>
      <c r="IS105" s="81"/>
      <c r="IT105" s="81"/>
      <c r="IU105" s="81"/>
      <c r="IV105" s="81"/>
    </row>
    <row r="106" spans="1:256" s="33" customFormat="1" ht="17.25" customHeight="1">
      <c r="A106" s="66" t="str">
        <f t="shared" ca="1" si="48"/>
        <v>2.1.3.3</v>
      </c>
      <c r="B106" s="110" t="s">
        <v>117</v>
      </c>
      <c r="C106" s="99"/>
      <c r="D106" s="64"/>
      <c r="E106" s="64"/>
      <c r="F106" s="65"/>
      <c r="G106" s="68"/>
      <c r="H106" s="65">
        <f t="shared" si="45"/>
        <v>0</v>
      </c>
      <c r="I106" s="78">
        <f t="shared" si="46"/>
        <v>0</v>
      </c>
      <c r="J106" s="65">
        <f t="shared" si="47"/>
        <v>0</v>
      </c>
      <c r="K106" s="77">
        <v>100</v>
      </c>
      <c r="IP106" s="81"/>
      <c r="IQ106" s="81"/>
      <c r="IR106" s="81"/>
      <c r="IS106" s="81"/>
      <c r="IT106" s="81"/>
      <c r="IU106" s="81"/>
      <c r="IV106" s="81"/>
    </row>
    <row r="107" spans="1:256" s="33" customFormat="1" ht="17.25" customHeight="1">
      <c r="A107" s="66" t="str">
        <f t="shared" ca="1" si="48"/>
        <v>2.1.3.4</v>
      </c>
      <c r="B107" s="110" t="s">
        <v>118</v>
      </c>
      <c r="C107" s="99"/>
      <c r="D107" s="64"/>
      <c r="E107" s="64"/>
      <c r="F107" s="65"/>
      <c r="G107" s="68"/>
      <c r="H107" s="65">
        <f t="shared" si="45"/>
        <v>0</v>
      </c>
      <c r="I107" s="78">
        <f t="shared" si="46"/>
        <v>0</v>
      </c>
      <c r="J107" s="65">
        <f t="shared" si="47"/>
        <v>0</v>
      </c>
      <c r="K107" s="77">
        <v>100</v>
      </c>
      <c r="IP107" s="81"/>
      <c r="IQ107" s="81"/>
      <c r="IR107" s="81"/>
      <c r="IS107" s="81"/>
      <c r="IT107" s="81"/>
      <c r="IU107" s="81"/>
      <c r="IV107" s="81"/>
    </row>
    <row r="108" spans="1:256" s="33" customFormat="1" ht="17.25" customHeight="1">
      <c r="A108" s="66" t="str">
        <f t="shared" ca="1" si="48"/>
        <v>2.1.3.5</v>
      </c>
      <c r="B108" s="110" t="s">
        <v>119</v>
      </c>
      <c r="C108" s="99"/>
      <c r="D108" s="64"/>
      <c r="E108" s="64"/>
      <c r="F108" s="65"/>
      <c r="G108" s="68"/>
      <c r="H108" s="65">
        <f t="shared" si="45"/>
        <v>0</v>
      </c>
      <c r="I108" s="78">
        <f t="shared" si="46"/>
        <v>0</v>
      </c>
      <c r="J108" s="65">
        <f t="shared" si="47"/>
        <v>0</v>
      </c>
      <c r="K108" s="77">
        <v>100</v>
      </c>
      <c r="IP108" s="81"/>
      <c r="IQ108" s="81"/>
      <c r="IR108" s="81"/>
      <c r="IS108" s="81"/>
      <c r="IT108" s="81"/>
      <c r="IU108" s="81"/>
      <c r="IV108" s="81"/>
    </row>
    <row r="109" spans="1:256" s="33" customFormat="1" ht="17.25" customHeight="1">
      <c r="A109" s="66" t="str">
        <f t="shared" ca="1" si="48"/>
        <v>2.1.3.6</v>
      </c>
      <c r="B109" s="110" t="s">
        <v>110</v>
      </c>
      <c r="C109" s="99"/>
      <c r="D109" s="64"/>
      <c r="E109" s="64"/>
      <c r="F109" s="65"/>
      <c r="G109" s="68"/>
      <c r="H109" s="65">
        <f t="shared" si="45"/>
        <v>0</v>
      </c>
      <c r="I109" s="78">
        <f t="shared" si="46"/>
        <v>0</v>
      </c>
      <c r="J109" s="65">
        <f t="shared" si="47"/>
        <v>0</v>
      </c>
      <c r="K109" s="77">
        <v>100</v>
      </c>
      <c r="IP109" s="81"/>
      <c r="IQ109" s="81"/>
      <c r="IR109" s="81"/>
      <c r="IS109" s="81"/>
      <c r="IT109" s="81"/>
      <c r="IU109" s="81"/>
      <c r="IV109" s="81"/>
    </row>
    <row r="110" spans="1:256" s="33" customFormat="1" ht="17.25" customHeight="1">
      <c r="A110" s="66" t="str">
        <f t="shared" ca="1" si="48"/>
        <v>2.1.3.7</v>
      </c>
      <c r="B110" s="110" t="s">
        <v>120</v>
      </c>
      <c r="C110" s="99"/>
      <c r="D110" s="64"/>
      <c r="E110" s="64"/>
      <c r="F110" s="65"/>
      <c r="G110" s="68"/>
      <c r="H110" s="65">
        <f t="shared" si="45"/>
        <v>0</v>
      </c>
      <c r="I110" s="78">
        <f t="shared" si="46"/>
        <v>0</v>
      </c>
      <c r="J110" s="65">
        <f t="shared" si="47"/>
        <v>0</v>
      </c>
      <c r="K110" s="77">
        <v>100</v>
      </c>
      <c r="IP110" s="81"/>
      <c r="IQ110" s="81"/>
      <c r="IR110" s="81"/>
      <c r="IS110" s="81"/>
      <c r="IT110" s="81"/>
      <c r="IU110" s="81"/>
      <c r="IV110" s="81"/>
    </row>
    <row r="111" spans="1:256" s="33" customFormat="1" ht="17.25" customHeight="1">
      <c r="A111" s="66" t="str">
        <f ca="1">IF(ISERROR(VALUE(SUBSTITUTE(OFFSET(A111,-1,0,1,1),".",""))),"0.0.1",IF(ISERROR(FIND("`",SUBSTITUTE(OFFSET(A111,-1,0,1,1),".","`",2))),OFFSET(A111,-1,0,1,1)&amp;".1",LEFT(OFFSET(A111,-1,0,1,1),FIND("`",SUBSTITUTE(OFFSET(A111,-1,0,1,1),".","`",2)))&amp;IF(ISERROR(FIND("`",SUBSTITUTE(OFFSET(A111,-1,0,1,1),".","`",3))),VALUE(RIGHT(OFFSET(A111,-1,0,1,1),LEN(OFFSET(A111,-1,0,1,1))-FIND("`",SUBSTITUTE(OFFSET(A111,-1,0,1,1),".","`",2))))+1,VALUE(MID(OFFSET(A111,-1,0,1,1),FIND("`",SUBSTITUTE(OFFSET(A111,-1,0,1,1),".","`",2))+1,(FIND("`",SUBSTITUTE(OFFSET(A111,-1,0,1,1),".","`",3))-FIND("`",SUBSTITUTE(OFFSET(A111,-1,0,1,1),".","`",2))-1)))+1)))</f>
        <v>2.1.4</v>
      </c>
      <c r="B111" s="108" t="s">
        <v>121</v>
      </c>
      <c r="C111" s="98" t="s">
        <v>154</v>
      </c>
      <c r="D111" s="60">
        <v>42112</v>
      </c>
      <c r="E111" s="64">
        <f t="shared" si="44"/>
        <v>42118</v>
      </c>
      <c r="F111" s="65">
        <v>7</v>
      </c>
      <c r="G111" s="68"/>
      <c r="H111" s="65">
        <f t="shared" si="45"/>
        <v>5</v>
      </c>
      <c r="I111" s="78">
        <f t="shared" si="46"/>
        <v>0</v>
      </c>
      <c r="J111" s="65">
        <f t="shared" si="47"/>
        <v>7</v>
      </c>
      <c r="K111" s="77">
        <v>100</v>
      </c>
      <c r="IP111" s="81"/>
      <c r="IQ111" s="81"/>
      <c r="IR111" s="81"/>
      <c r="IS111" s="81"/>
      <c r="IT111" s="81"/>
      <c r="IU111" s="81"/>
      <c r="IV111" s="81"/>
    </row>
    <row r="112" spans="1:256" s="33" customFormat="1" ht="17.25" customHeight="1">
      <c r="A112" s="66" t="str">
        <f t="shared" ca="1" si="48"/>
        <v>2.1.4.1</v>
      </c>
      <c r="B112" s="110" t="s">
        <v>122</v>
      </c>
      <c r="C112" s="98"/>
      <c r="D112" s="64"/>
      <c r="E112" s="64"/>
      <c r="F112" s="65"/>
      <c r="G112" s="68"/>
      <c r="H112" s="65">
        <f t="shared" si="45"/>
        <v>0</v>
      </c>
      <c r="I112" s="78">
        <f t="shared" si="46"/>
        <v>0</v>
      </c>
      <c r="J112" s="65">
        <f t="shared" si="47"/>
        <v>0</v>
      </c>
      <c r="K112" s="77">
        <v>100</v>
      </c>
      <c r="IP112" s="81"/>
      <c r="IQ112" s="81"/>
      <c r="IR112" s="81"/>
      <c r="IS112" s="81"/>
      <c r="IT112" s="81"/>
      <c r="IU112" s="81"/>
      <c r="IV112" s="81"/>
    </row>
    <row r="113" spans="1:256" s="33" customFormat="1" ht="17.25" customHeight="1">
      <c r="A113" s="66" t="str">
        <f t="shared" ca="1" si="48"/>
        <v>2.1.4.2</v>
      </c>
      <c r="B113" s="110" t="s">
        <v>123</v>
      </c>
      <c r="C113" s="98"/>
      <c r="D113" s="60"/>
      <c r="E113" s="60"/>
      <c r="F113" s="65"/>
      <c r="G113" s="68"/>
      <c r="H113" s="65">
        <f t="shared" si="45"/>
        <v>0</v>
      </c>
      <c r="I113" s="78">
        <f t="shared" si="46"/>
        <v>0</v>
      </c>
      <c r="J113" s="65">
        <f t="shared" si="47"/>
        <v>0</v>
      </c>
      <c r="K113" s="77">
        <v>100</v>
      </c>
      <c r="IP113" s="81"/>
      <c r="IQ113" s="81"/>
      <c r="IR113" s="81"/>
      <c r="IS113" s="81"/>
      <c r="IT113" s="81"/>
      <c r="IU113" s="81"/>
      <c r="IV113" s="81"/>
    </row>
    <row r="114" spans="1:256" s="33" customFormat="1" ht="17.25" customHeight="1">
      <c r="A114" s="66" t="str">
        <f t="shared" ca="1" si="48"/>
        <v>2.1.4.3</v>
      </c>
      <c r="B114" s="110" t="s">
        <v>124</v>
      </c>
      <c r="C114" s="98"/>
      <c r="D114" s="60"/>
      <c r="E114" s="60"/>
      <c r="F114" s="65"/>
      <c r="G114" s="68"/>
      <c r="H114" s="65">
        <f t="shared" si="45"/>
        <v>0</v>
      </c>
      <c r="I114" s="78">
        <f t="shared" si="46"/>
        <v>0</v>
      </c>
      <c r="J114" s="65">
        <f t="shared" si="47"/>
        <v>0</v>
      </c>
      <c r="K114" s="77">
        <v>100</v>
      </c>
      <c r="IP114" s="81"/>
      <c r="IQ114" s="81"/>
      <c r="IR114" s="81"/>
      <c r="IS114" s="81"/>
      <c r="IT114" s="81"/>
      <c r="IU114" s="81"/>
      <c r="IV114" s="81"/>
    </row>
    <row r="115" spans="1:256" s="33" customFormat="1" ht="17.25" customHeight="1">
      <c r="A115" s="66" t="str">
        <f t="shared" ca="1" si="48"/>
        <v>2.1.4.4</v>
      </c>
      <c r="B115" s="110" t="s">
        <v>117</v>
      </c>
      <c r="C115" s="98"/>
      <c r="D115" s="60"/>
      <c r="E115" s="60"/>
      <c r="F115" s="65"/>
      <c r="G115" s="68"/>
      <c r="H115" s="65">
        <f t="shared" si="45"/>
        <v>0</v>
      </c>
      <c r="I115" s="78">
        <f t="shared" si="46"/>
        <v>0</v>
      </c>
      <c r="J115" s="65">
        <f t="shared" si="47"/>
        <v>0</v>
      </c>
      <c r="K115" s="77">
        <v>100</v>
      </c>
      <c r="IP115" s="81"/>
      <c r="IQ115" s="81"/>
      <c r="IR115" s="81"/>
      <c r="IS115" s="81"/>
      <c r="IT115" s="81"/>
      <c r="IU115" s="81"/>
      <c r="IV115" s="81"/>
    </row>
    <row r="116" spans="1:256" s="33" customFormat="1" ht="17.25" customHeight="1">
      <c r="A116" s="66" t="str">
        <f t="shared" ca="1" si="48"/>
        <v>2.1.4.5</v>
      </c>
      <c r="B116" s="110" t="s">
        <v>118</v>
      </c>
      <c r="C116" s="98"/>
      <c r="D116" s="60"/>
      <c r="E116" s="60"/>
      <c r="F116" s="65"/>
      <c r="G116" s="68"/>
      <c r="H116" s="65">
        <f t="shared" si="45"/>
        <v>0</v>
      </c>
      <c r="I116" s="78">
        <f t="shared" si="46"/>
        <v>0</v>
      </c>
      <c r="J116" s="65">
        <f t="shared" si="47"/>
        <v>0</v>
      </c>
      <c r="K116" s="77">
        <v>100</v>
      </c>
      <c r="IP116" s="81"/>
      <c r="IQ116" s="81"/>
      <c r="IR116" s="81"/>
      <c r="IS116" s="81"/>
      <c r="IT116" s="81"/>
      <c r="IU116" s="81"/>
      <c r="IV116" s="81"/>
    </row>
    <row r="117" spans="1:256" s="33" customFormat="1" ht="17.25" customHeight="1">
      <c r="A117" s="66" t="str">
        <f t="shared" ca="1" si="48"/>
        <v>2.1.4.6</v>
      </c>
      <c r="B117" s="110" t="s">
        <v>125</v>
      </c>
      <c r="C117" s="98"/>
      <c r="D117" s="60"/>
      <c r="E117" s="60"/>
      <c r="F117" s="65"/>
      <c r="G117" s="68"/>
      <c r="H117" s="65">
        <f t="shared" si="45"/>
        <v>0</v>
      </c>
      <c r="I117" s="78">
        <f t="shared" si="46"/>
        <v>0</v>
      </c>
      <c r="J117" s="65">
        <f t="shared" si="47"/>
        <v>0</v>
      </c>
      <c r="K117" s="77">
        <v>100</v>
      </c>
      <c r="IP117" s="81"/>
      <c r="IQ117" s="81"/>
      <c r="IR117" s="81"/>
      <c r="IS117" s="81"/>
      <c r="IT117" s="81"/>
      <c r="IU117" s="81"/>
      <c r="IV117" s="81"/>
    </row>
    <row r="118" spans="1:256" s="33" customFormat="1" ht="17.25" customHeight="1">
      <c r="A118" s="66" t="str">
        <f t="shared" ca="1" si="48"/>
        <v>2.1.4.7</v>
      </c>
      <c r="B118" s="110" t="s">
        <v>110</v>
      </c>
      <c r="C118" s="98"/>
      <c r="D118" s="60"/>
      <c r="E118" s="60"/>
      <c r="F118" s="65"/>
      <c r="G118" s="68"/>
      <c r="H118" s="65">
        <f t="shared" si="45"/>
        <v>0</v>
      </c>
      <c r="I118" s="78">
        <f t="shared" si="46"/>
        <v>0</v>
      </c>
      <c r="J118" s="65">
        <f t="shared" si="47"/>
        <v>0</v>
      </c>
      <c r="K118" s="77">
        <v>100</v>
      </c>
      <c r="IP118" s="81"/>
      <c r="IQ118" s="81"/>
      <c r="IR118" s="81"/>
      <c r="IS118" s="81"/>
      <c r="IT118" s="81"/>
      <c r="IU118" s="81"/>
      <c r="IV118" s="81"/>
    </row>
    <row r="119" spans="1:256" s="33" customFormat="1" ht="17.25" customHeight="1">
      <c r="A119" s="66" t="str">
        <f t="shared" ca="1" si="48"/>
        <v>2.1.4.8</v>
      </c>
      <c r="B119" s="110" t="s">
        <v>126</v>
      </c>
      <c r="C119" s="98"/>
      <c r="D119" s="60"/>
      <c r="E119" s="60"/>
      <c r="F119" s="65"/>
      <c r="G119" s="68"/>
      <c r="H119" s="65">
        <f t="shared" si="45"/>
        <v>0</v>
      </c>
      <c r="I119" s="78">
        <f t="shared" si="46"/>
        <v>0</v>
      </c>
      <c r="J119" s="65">
        <f t="shared" si="47"/>
        <v>0</v>
      </c>
      <c r="K119" s="77">
        <v>100</v>
      </c>
      <c r="IP119" s="81"/>
      <c r="IQ119" s="81"/>
      <c r="IR119" s="81"/>
      <c r="IS119" s="81"/>
      <c r="IT119" s="81"/>
      <c r="IU119" s="81"/>
      <c r="IV119" s="81"/>
    </row>
    <row r="120" spans="1:256" s="33" customFormat="1" ht="17.25" customHeight="1">
      <c r="A120" s="66" t="str">
        <f ca="1">IF(ISERROR(VALUE(SUBSTITUTE(OFFSET(A120,-1,0,1,1),".",""))),"0.0.1",IF(ISERROR(FIND("`",SUBSTITUTE(OFFSET(A120,-1,0,1,1),".","`",2))),OFFSET(A120,-1,0,1,1)&amp;".1",LEFT(OFFSET(A120,-1,0,1,1),FIND("`",SUBSTITUTE(OFFSET(A120,-1,0,1,1),".","`",2)))&amp;IF(ISERROR(FIND("`",SUBSTITUTE(OFFSET(A120,-1,0,1,1),".","`",3))),VALUE(RIGHT(OFFSET(A120,-1,0,1,1),LEN(OFFSET(A120,-1,0,1,1))-FIND("`",SUBSTITUTE(OFFSET(A120,-1,0,1,1),".","`",2))))+1,VALUE(MID(OFFSET(A120,-1,0,1,1),FIND("`",SUBSTITUTE(OFFSET(A120,-1,0,1,1),".","`",2))+1,(FIND("`",SUBSTITUTE(OFFSET(A120,-1,0,1,1),".","`",3))-FIND("`",SUBSTITUTE(OFFSET(A120,-1,0,1,1),".","`",2))-1)))+1)))</f>
        <v>2.1.5</v>
      </c>
      <c r="B120" s="108" t="s">
        <v>127</v>
      </c>
      <c r="C120" s="98" t="s">
        <v>157</v>
      </c>
      <c r="D120" s="60">
        <v>42112</v>
      </c>
      <c r="E120" s="64">
        <f t="shared" ref="E120" si="49">D120+F120-1</f>
        <v>42118</v>
      </c>
      <c r="F120" s="65">
        <v>7</v>
      </c>
      <c r="G120" s="68"/>
      <c r="H120" s="65">
        <f t="shared" si="45"/>
        <v>5</v>
      </c>
      <c r="I120" s="78">
        <f t="shared" si="46"/>
        <v>0</v>
      </c>
      <c r="J120" s="65">
        <f t="shared" si="47"/>
        <v>7</v>
      </c>
      <c r="K120" s="77">
        <v>100</v>
      </c>
      <c r="IP120" s="81"/>
      <c r="IQ120" s="81"/>
      <c r="IR120" s="81"/>
      <c r="IS120" s="81"/>
      <c r="IT120" s="81"/>
      <c r="IU120" s="81"/>
      <c r="IV120" s="81"/>
    </row>
    <row r="121" spans="1:256" s="33" customFormat="1" ht="17.25" customHeight="1">
      <c r="A121" s="66" t="str">
        <f t="shared" ca="1" si="48"/>
        <v>2.1.5.1</v>
      </c>
      <c r="B121" s="110" t="s">
        <v>128</v>
      </c>
      <c r="C121" s="98"/>
      <c r="D121" s="64"/>
      <c r="E121" s="64"/>
      <c r="F121" s="65"/>
      <c r="G121" s="68"/>
      <c r="H121" s="65">
        <f t="shared" si="45"/>
        <v>0</v>
      </c>
      <c r="I121" s="78">
        <f t="shared" si="46"/>
        <v>0</v>
      </c>
      <c r="J121" s="65">
        <f t="shared" si="47"/>
        <v>0</v>
      </c>
      <c r="K121" s="77">
        <v>100</v>
      </c>
      <c r="IP121" s="81"/>
      <c r="IQ121" s="81"/>
      <c r="IR121" s="81"/>
      <c r="IS121" s="81"/>
      <c r="IT121" s="81"/>
      <c r="IU121" s="81"/>
      <c r="IV121" s="81"/>
    </row>
    <row r="122" spans="1:256" s="81" customFormat="1" ht="17.25" customHeight="1">
      <c r="A122" s="66" t="str">
        <f t="shared" ca="1" si="48"/>
        <v>2.1.5.2</v>
      </c>
      <c r="B122" s="110" t="s">
        <v>129</v>
      </c>
      <c r="C122" s="98"/>
      <c r="D122" s="64"/>
      <c r="E122" s="64"/>
      <c r="F122" s="65"/>
      <c r="G122" s="68"/>
      <c r="H122" s="65">
        <f t="shared" si="45"/>
        <v>0</v>
      </c>
      <c r="I122" s="78">
        <f t="shared" si="46"/>
        <v>0</v>
      </c>
      <c r="J122" s="65">
        <f t="shared" si="47"/>
        <v>0</v>
      </c>
      <c r="K122" s="77">
        <v>100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  <c r="HI122" s="33"/>
      <c r="HJ122" s="33"/>
      <c r="HK122" s="33"/>
      <c r="HL122" s="33"/>
      <c r="HM122" s="33"/>
      <c r="HN122" s="33"/>
      <c r="HO122" s="33"/>
      <c r="HP122" s="33"/>
      <c r="HQ122" s="33"/>
      <c r="HR122" s="33"/>
      <c r="HS122" s="33"/>
      <c r="HT122" s="33"/>
      <c r="HU122" s="33"/>
      <c r="HV122" s="33"/>
      <c r="HW122" s="33"/>
      <c r="HX122" s="33"/>
      <c r="HY122" s="33"/>
      <c r="HZ122" s="33"/>
      <c r="IA122" s="33"/>
      <c r="IB122" s="33"/>
      <c r="IC122" s="33"/>
      <c r="ID122" s="33"/>
      <c r="IE122" s="33"/>
      <c r="IF122" s="33"/>
      <c r="IG122" s="33"/>
      <c r="IH122" s="33"/>
      <c r="II122" s="33"/>
      <c r="IJ122" s="33"/>
      <c r="IK122" s="33"/>
      <c r="IL122" s="33"/>
      <c r="IM122" s="33"/>
    </row>
    <row r="123" spans="1:256" s="81" customFormat="1" ht="17.25" customHeight="1">
      <c r="A123" s="66" t="str">
        <f t="shared" ca="1" si="48"/>
        <v>2.1.5.3</v>
      </c>
      <c r="B123" s="110" t="s">
        <v>130</v>
      </c>
      <c r="C123" s="98"/>
      <c r="D123" s="64"/>
      <c r="E123" s="64"/>
      <c r="F123" s="65"/>
      <c r="G123" s="68"/>
      <c r="H123" s="65">
        <f t="shared" si="45"/>
        <v>0</v>
      </c>
      <c r="I123" s="78">
        <f t="shared" si="46"/>
        <v>0</v>
      </c>
      <c r="J123" s="65">
        <f t="shared" si="47"/>
        <v>0</v>
      </c>
      <c r="K123" s="77">
        <v>100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  <c r="HI123" s="33"/>
      <c r="HJ123" s="33"/>
      <c r="HK123" s="33"/>
      <c r="HL123" s="33"/>
      <c r="HM123" s="33"/>
      <c r="HN123" s="33"/>
      <c r="HO123" s="33"/>
      <c r="HP123" s="33"/>
      <c r="HQ123" s="33"/>
      <c r="HR123" s="33"/>
      <c r="HS123" s="33"/>
      <c r="HT123" s="33"/>
      <c r="HU123" s="33"/>
      <c r="HV123" s="33"/>
      <c r="HW123" s="33"/>
      <c r="HX123" s="33"/>
      <c r="HY123" s="33"/>
      <c r="HZ123" s="33"/>
      <c r="IA123" s="33"/>
      <c r="IB123" s="33"/>
      <c r="IC123" s="33"/>
      <c r="ID123" s="33"/>
      <c r="IE123" s="33"/>
      <c r="IF123" s="33"/>
      <c r="IG123" s="33"/>
      <c r="IH123" s="33"/>
      <c r="II123" s="33"/>
      <c r="IJ123" s="33"/>
      <c r="IK123" s="33"/>
      <c r="IL123" s="33"/>
      <c r="IM123" s="33"/>
    </row>
    <row r="124" spans="1:256" s="81" customFormat="1" ht="17.25" customHeight="1">
      <c r="A124" s="66" t="str">
        <f t="shared" ca="1" si="48"/>
        <v>2.1.5.4</v>
      </c>
      <c r="B124" s="110" t="s">
        <v>131</v>
      </c>
      <c r="C124" s="98"/>
      <c r="D124" s="64"/>
      <c r="E124" s="64"/>
      <c r="F124" s="65"/>
      <c r="G124" s="68"/>
      <c r="H124" s="65">
        <f t="shared" si="45"/>
        <v>0</v>
      </c>
      <c r="I124" s="78">
        <f t="shared" si="46"/>
        <v>0</v>
      </c>
      <c r="J124" s="65">
        <f t="shared" si="47"/>
        <v>0</v>
      </c>
      <c r="K124" s="77">
        <v>100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  <c r="HI124" s="33"/>
      <c r="HJ124" s="33"/>
      <c r="HK124" s="33"/>
      <c r="HL124" s="33"/>
      <c r="HM124" s="33"/>
      <c r="HN124" s="33"/>
      <c r="HO124" s="33"/>
      <c r="HP124" s="33"/>
      <c r="HQ124" s="33"/>
      <c r="HR124" s="33"/>
      <c r="HS124" s="33"/>
      <c r="HT124" s="33"/>
      <c r="HU124" s="33"/>
      <c r="HV124" s="33"/>
      <c r="HW124" s="33"/>
      <c r="HX124" s="33"/>
      <c r="HY124" s="33"/>
      <c r="HZ124" s="33"/>
      <c r="IA124" s="33"/>
      <c r="IB124" s="33"/>
      <c r="IC124" s="33"/>
      <c r="ID124" s="33"/>
      <c r="IE124" s="33"/>
      <c r="IF124" s="33"/>
      <c r="IG124" s="33"/>
      <c r="IH124" s="33"/>
      <c r="II124" s="33"/>
      <c r="IJ124" s="33"/>
      <c r="IK124" s="33"/>
      <c r="IL124" s="33"/>
      <c r="IM124" s="33"/>
    </row>
    <row r="125" spans="1:256" s="35" customFormat="1" ht="17.25" customHeight="1">
      <c r="A125" s="66" t="str">
        <f t="shared" ca="1" si="48"/>
        <v>2.1.5.5</v>
      </c>
      <c r="B125" s="110" t="s">
        <v>132</v>
      </c>
      <c r="C125" s="98"/>
      <c r="D125" s="64"/>
      <c r="E125" s="64"/>
      <c r="F125" s="65"/>
      <c r="G125" s="68"/>
      <c r="H125" s="65">
        <f t="shared" si="45"/>
        <v>0</v>
      </c>
      <c r="I125" s="78">
        <f t="shared" si="46"/>
        <v>0</v>
      </c>
      <c r="J125" s="65">
        <f t="shared" si="47"/>
        <v>0</v>
      </c>
      <c r="K125" s="77">
        <v>100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  <c r="HI125" s="33"/>
      <c r="HJ125" s="33"/>
      <c r="HK125" s="33"/>
      <c r="HL125" s="33"/>
      <c r="HM125" s="33"/>
      <c r="HN125" s="33"/>
      <c r="HO125" s="33"/>
      <c r="HP125" s="33"/>
      <c r="HQ125" s="33"/>
      <c r="HR125" s="33"/>
      <c r="HS125" s="33"/>
      <c r="HT125" s="33"/>
      <c r="HU125" s="33"/>
      <c r="HV125" s="33"/>
      <c r="HW125" s="33"/>
      <c r="HX125" s="33"/>
      <c r="HY125" s="33"/>
      <c r="HZ125" s="33"/>
      <c r="IA125" s="33"/>
      <c r="IB125" s="33"/>
      <c r="IC125" s="33"/>
      <c r="ID125" s="33"/>
      <c r="IE125" s="33"/>
      <c r="IF125" s="33"/>
      <c r="IG125" s="33"/>
      <c r="IH125" s="33"/>
      <c r="II125" s="33"/>
      <c r="IJ125" s="33"/>
      <c r="IK125" s="33"/>
      <c r="IL125" s="33"/>
      <c r="IM125" s="33"/>
    </row>
    <row r="126" spans="1:256" s="35" customFormat="1" ht="17.25" customHeight="1">
      <c r="A126" s="66" t="str">
        <f t="shared" ca="1" si="48"/>
        <v>2.1.5.6</v>
      </c>
      <c r="B126" s="110" t="s">
        <v>133</v>
      </c>
      <c r="C126" s="98"/>
      <c r="D126" s="64"/>
      <c r="E126" s="64"/>
      <c r="F126" s="65"/>
      <c r="G126" s="68"/>
      <c r="H126" s="65">
        <f t="shared" si="45"/>
        <v>0</v>
      </c>
      <c r="I126" s="78">
        <f t="shared" si="46"/>
        <v>0</v>
      </c>
      <c r="J126" s="65">
        <f t="shared" si="47"/>
        <v>0</v>
      </c>
      <c r="K126" s="77">
        <v>100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  <c r="HI126" s="33"/>
      <c r="HJ126" s="33"/>
      <c r="HK126" s="33"/>
      <c r="HL126" s="33"/>
      <c r="HM126" s="33"/>
      <c r="HN126" s="33"/>
      <c r="HO126" s="33"/>
      <c r="HP126" s="33"/>
      <c r="HQ126" s="33"/>
      <c r="HR126" s="33"/>
      <c r="HS126" s="33"/>
      <c r="HT126" s="33"/>
      <c r="HU126" s="33"/>
      <c r="HV126" s="33"/>
      <c r="HW126" s="33"/>
      <c r="HX126" s="33"/>
      <c r="HY126" s="33"/>
      <c r="HZ126" s="33"/>
      <c r="IA126" s="33"/>
      <c r="IB126" s="33"/>
      <c r="IC126" s="33"/>
      <c r="ID126" s="33"/>
      <c r="IE126" s="33"/>
      <c r="IF126" s="33"/>
      <c r="IG126" s="33"/>
      <c r="IH126" s="33"/>
      <c r="II126" s="33"/>
      <c r="IJ126" s="33"/>
      <c r="IK126" s="33"/>
      <c r="IL126" s="33"/>
      <c r="IM126" s="33"/>
    </row>
    <row r="127" spans="1:256" s="33" customFormat="1" ht="17.25" customHeight="1">
      <c r="A127" s="63" t="str">
        <f ca="1">IF(ISERROR(VALUE(SUBSTITUTE(OFFSET(A127,-1,0,1,1),".",""))),"0.1",IF(ISERROR(FIND("`",SUBSTITUTE(OFFSET(A127,-1,0,1,1),".","`",1))),OFFSET(A127,-1,0,1,1)&amp;".1",LEFT(OFFSET(A127,-1,0,1,1),FIND("`",SUBSTITUTE(OFFSET(A127,-1,0,1,1),".","`",1)))&amp;IF(ISERROR(FIND("`",SUBSTITUTE(OFFSET(A127,-1,0,1,1),".","`",2))),VALUE(RIGHT(OFFSET(A127,-1,0,1,1),LEN(OFFSET(A127,-1,0,1,1))-FIND("`",SUBSTITUTE(OFFSET(A127,-1,0,1,1),".","`",1))))+1,VALUE(MID(OFFSET(A127,-1,0,1,1),FIND("`",SUBSTITUTE(OFFSET(A127,-1,0,1,1),".","`",1))+1,(FIND("`",SUBSTITUTE(OFFSET(A127,-1,0,1,1),".","`",2))-FIND("`",SUBSTITUTE(OFFSET(A127,-1,0,1,1),".","`",1))-1)))+1)))</f>
        <v>2.2</v>
      </c>
      <c r="B127" s="105" t="s">
        <v>153</v>
      </c>
      <c r="C127" s="104" t="s">
        <v>156</v>
      </c>
      <c r="D127" s="64">
        <v>42120</v>
      </c>
      <c r="E127" s="64">
        <f t="shared" ref="E127:E128" si="50">D127+F127-1</f>
        <v>42142</v>
      </c>
      <c r="F127" s="65">
        <v>23</v>
      </c>
      <c r="G127" s="68"/>
      <c r="H127" s="65">
        <f t="shared" si="45"/>
        <v>16</v>
      </c>
      <c r="I127" s="78">
        <f t="shared" si="46"/>
        <v>0</v>
      </c>
      <c r="J127" s="65">
        <f t="shared" si="47"/>
        <v>23</v>
      </c>
      <c r="K127" s="77">
        <v>100</v>
      </c>
      <c r="IP127" s="81"/>
      <c r="IQ127" s="81"/>
      <c r="IR127" s="81"/>
      <c r="IS127" s="81"/>
      <c r="IT127" s="81"/>
      <c r="IU127" s="81"/>
      <c r="IV127" s="81"/>
    </row>
    <row r="128" spans="1:256" s="33" customFormat="1" ht="17.25" customHeight="1">
      <c r="A128" s="66" t="str">
        <f ca="1">IF(ISERROR(VALUE(SUBSTITUTE(OFFSET(A128,-1,0,1,1),".",""))),"0.0.1",IF(ISERROR(FIND("`",SUBSTITUTE(OFFSET(A128,-1,0,1,1),".","`",2))),OFFSET(A128,-1,0,1,1)&amp;".1",LEFT(OFFSET(A128,-1,0,1,1),FIND("`",SUBSTITUTE(OFFSET(A128,-1,0,1,1),".","`",2)))&amp;IF(ISERROR(FIND("`",SUBSTITUTE(OFFSET(A128,-1,0,1,1),".","`",3))),VALUE(RIGHT(OFFSET(A128,-1,0,1,1),LEN(OFFSET(A128,-1,0,1,1))-FIND("`",SUBSTITUTE(OFFSET(A128,-1,0,1,1),".","`",2))))+1,VALUE(MID(OFFSET(A128,-1,0,1,1),FIND("`",SUBSTITUTE(OFFSET(A128,-1,0,1,1),".","`",2))+1,(FIND("`",SUBSTITUTE(OFFSET(A128,-1,0,1,1),".","`",3))-FIND("`",SUBSTITUTE(OFFSET(A128,-1,0,1,1),".","`",2))-1)))+1)))</f>
        <v>2.2.1</v>
      </c>
      <c r="B128" s="107" t="s">
        <v>101</v>
      </c>
      <c r="C128" s="99"/>
      <c r="D128" s="64">
        <v>42120</v>
      </c>
      <c r="E128" s="64">
        <f t="shared" si="50"/>
        <v>42121</v>
      </c>
      <c r="F128" s="65">
        <v>2</v>
      </c>
      <c r="G128" s="68"/>
      <c r="H128" s="65">
        <f t="shared" si="45"/>
        <v>1</v>
      </c>
      <c r="I128" s="78">
        <f t="shared" si="46"/>
        <v>0</v>
      </c>
      <c r="J128" s="65">
        <f t="shared" si="47"/>
        <v>2</v>
      </c>
      <c r="K128" s="77">
        <v>100</v>
      </c>
      <c r="IP128" s="81"/>
      <c r="IQ128" s="81"/>
      <c r="IR128" s="81"/>
      <c r="IS128" s="81"/>
      <c r="IT128" s="81"/>
      <c r="IU128" s="81"/>
      <c r="IV128" s="81"/>
    </row>
    <row r="129" spans="1:256" s="33" customFormat="1" ht="17.25" customHeight="1">
      <c r="A129" s="66" t="str">
        <f t="shared" ca="1" si="48"/>
        <v>2.2.1.1</v>
      </c>
      <c r="B129" s="110" t="s">
        <v>151</v>
      </c>
      <c r="C129" s="99"/>
      <c r="D129" s="64"/>
      <c r="E129" s="64"/>
      <c r="F129" s="65"/>
      <c r="G129" s="68"/>
      <c r="H129" s="65">
        <f t="shared" si="45"/>
        <v>0</v>
      </c>
      <c r="I129" s="78">
        <f t="shared" si="46"/>
        <v>0</v>
      </c>
      <c r="J129" s="65">
        <f t="shared" si="47"/>
        <v>0</v>
      </c>
      <c r="K129" s="77">
        <v>100</v>
      </c>
      <c r="IP129" s="81"/>
      <c r="IQ129" s="81"/>
      <c r="IR129" s="81"/>
      <c r="IS129" s="81"/>
      <c r="IT129" s="81"/>
      <c r="IU129" s="81"/>
      <c r="IV129" s="81"/>
    </row>
    <row r="130" spans="1:256" s="33" customFormat="1" ht="17.25" customHeight="1">
      <c r="A130" s="66" t="str">
        <f t="shared" ca="1" si="48"/>
        <v>2.2.1.2</v>
      </c>
      <c r="B130" s="109" t="s">
        <v>102</v>
      </c>
      <c r="C130" s="99"/>
      <c r="D130" s="64"/>
      <c r="E130" s="64"/>
      <c r="F130" s="65"/>
      <c r="G130" s="68"/>
      <c r="H130" s="65">
        <f t="shared" si="45"/>
        <v>0</v>
      </c>
      <c r="I130" s="78">
        <f t="shared" si="46"/>
        <v>0</v>
      </c>
      <c r="J130" s="65">
        <f t="shared" si="47"/>
        <v>0</v>
      </c>
      <c r="K130" s="77">
        <v>100</v>
      </c>
      <c r="IP130" s="81"/>
      <c r="IQ130" s="81"/>
      <c r="IR130" s="81"/>
      <c r="IS130" s="81"/>
      <c r="IT130" s="81"/>
      <c r="IU130" s="81"/>
      <c r="IV130" s="81"/>
    </row>
    <row r="131" spans="1:256" s="33" customFormat="1" ht="17.25" customHeight="1">
      <c r="A131" s="66" t="str">
        <f t="shared" ca="1" si="48"/>
        <v>2.2.1.3</v>
      </c>
      <c r="B131" s="110" t="s">
        <v>150</v>
      </c>
      <c r="C131" s="99"/>
      <c r="D131" s="64"/>
      <c r="E131" s="64"/>
      <c r="F131" s="65"/>
      <c r="G131" s="68"/>
      <c r="H131" s="65">
        <f t="shared" si="45"/>
        <v>0</v>
      </c>
      <c r="I131" s="78">
        <f t="shared" si="46"/>
        <v>0</v>
      </c>
      <c r="J131" s="65">
        <f t="shared" si="47"/>
        <v>0</v>
      </c>
      <c r="K131" s="77">
        <v>100</v>
      </c>
      <c r="IP131" s="81"/>
      <c r="IQ131" s="81"/>
      <c r="IR131" s="81"/>
      <c r="IS131" s="81"/>
      <c r="IT131" s="81"/>
      <c r="IU131" s="81"/>
      <c r="IV131" s="81"/>
    </row>
    <row r="132" spans="1:256" s="33" customFormat="1" ht="17.25" customHeight="1">
      <c r="A132" s="66" t="str">
        <f t="shared" ca="1" si="48"/>
        <v>2.2.1.4</v>
      </c>
      <c r="B132" s="110" t="s">
        <v>104</v>
      </c>
      <c r="C132" s="99"/>
      <c r="D132" s="64"/>
      <c r="E132" s="64"/>
      <c r="F132" s="65"/>
      <c r="G132" s="68"/>
      <c r="H132" s="65">
        <f t="shared" si="45"/>
        <v>0</v>
      </c>
      <c r="I132" s="78">
        <f t="shared" si="46"/>
        <v>0</v>
      </c>
      <c r="J132" s="65">
        <f t="shared" si="47"/>
        <v>0</v>
      </c>
      <c r="K132" s="77">
        <v>100</v>
      </c>
      <c r="IP132" s="81"/>
      <c r="IQ132" s="81"/>
      <c r="IR132" s="81"/>
      <c r="IS132" s="81"/>
      <c r="IT132" s="81"/>
      <c r="IU132" s="81"/>
      <c r="IV132" s="81"/>
    </row>
    <row r="133" spans="1:256" s="33" customFormat="1" ht="17.25" customHeight="1">
      <c r="A133" s="66" t="str">
        <f t="shared" ca="1" si="48"/>
        <v>2.2.1.5</v>
      </c>
      <c r="B133" s="110" t="s">
        <v>106</v>
      </c>
      <c r="C133" s="99"/>
      <c r="D133" s="64"/>
      <c r="E133" s="64"/>
      <c r="F133" s="65"/>
      <c r="G133" s="68"/>
      <c r="H133" s="65">
        <f t="shared" si="45"/>
        <v>0</v>
      </c>
      <c r="I133" s="78">
        <f t="shared" si="46"/>
        <v>0</v>
      </c>
      <c r="J133" s="65">
        <f t="shared" si="47"/>
        <v>0</v>
      </c>
      <c r="K133" s="77">
        <v>100</v>
      </c>
      <c r="IP133" s="81"/>
      <c r="IQ133" s="81"/>
      <c r="IR133" s="81"/>
      <c r="IS133" s="81"/>
      <c r="IT133" s="81"/>
      <c r="IU133" s="81"/>
      <c r="IV133" s="81"/>
    </row>
    <row r="134" spans="1:256" s="33" customFormat="1" ht="17.25" customHeight="1">
      <c r="A134" s="66" t="str">
        <f ca="1">IF(ISERROR(VALUE(SUBSTITUTE(OFFSET(A134,-1,0,1,1),".",""))),"0.0.1",IF(ISERROR(FIND("`",SUBSTITUTE(OFFSET(A134,-1,0,1,1),".","`",2))),OFFSET(A134,-1,0,1,1)&amp;".1",LEFT(OFFSET(A134,-1,0,1,1),FIND("`",SUBSTITUTE(OFFSET(A134,-1,0,1,1),".","`",2)))&amp;IF(ISERROR(FIND("`",SUBSTITUTE(OFFSET(A134,-1,0,1,1),".","`",3))),VALUE(RIGHT(OFFSET(A134,-1,0,1,1),LEN(OFFSET(A134,-1,0,1,1))-FIND("`",SUBSTITUTE(OFFSET(A134,-1,0,1,1),".","`",2))))+1,VALUE(MID(OFFSET(A134,-1,0,1,1),FIND("`",SUBSTITUTE(OFFSET(A134,-1,0,1,1),".","`",2))+1,(FIND("`",SUBSTITUTE(OFFSET(A134,-1,0,1,1),".","`",3))-FIND("`",SUBSTITUTE(OFFSET(A134,-1,0,1,1),".","`",2))-1)))+1)))</f>
        <v>2.2.2</v>
      </c>
      <c r="B134" s="107" t="s">
        <v>105</v>
      </c>
      <c r="C134" s="99"/>
      <c r="D134" s="64">
        <v>42122</v>
      </c>
      <c r="E134" s="64">
        <f t="shared" ref="E134" si="51">D134+F134-1</f>
        <v>42123</v>
      </c>
      <c r="F134" s="65">
        <v>2</v>
      </c>
      <c r="G134" s="68"/>
      <c r="H134" s="65">
        <f t="shared" si="45"/>
        <v>2</v>
      </c>
      <c r="I134" s="78">
        <f t="shared" si="46"/>
        <v>0</v>
      </c>
      <c r="J134" s="65">
        <f t="shared" si="47"/>
        <v>2</v>
      </c>
      <c r="K134" s="77">
        <v>100</v>
      </c>
      <c r="IP134" s="81"/>
      <c r="IQ134" s="81"/>
      <c r="IR134" s="81"/>
      <c r="IS134" s="81"/>
      <c r="IT134" s="81"/>
      <c r="IU134" s="81"/>
      <c r="IV134" s="81"/>
    </row>
    <row r="135" spans="1:256" s="33" customFormat="1" ht="17.25" customHeight="1">
      <c r="A135" s="66" t="str">
        <f t="shared" ca="1" si="48"/>
        <v>2.2.2.1</v>
      </c>
      <c r="B135" s="110" t="s">
        <v>107</v>
      </c>
      <c r="C135" s="99"/>
      <c r="D135" s="64"/>
      <c r="E135" s="64"/>
      <c r="F135" s="65"/>
      <c r="G135" s="68"/>
      <c r="H135" s="65">
        <f t="shared" si="45"/>
        <v>0</v>
      </c>
      <c r="I135" s="78">
        <f t="shared" si="46"/>
        <v>0</v>
      </c>
      <c r="J135" s="65">
        <f t="shared" si="47"/>
        <v>0</v>
      </c>
      <c r="K135" s="77">
        <v>100</v>
      </c>
      <c r="IP135" s="81"/>
      <c r="IQ135" s="81"/>
      <c r="IR135" s="81"/>
      <c r="IS135" s="81"/>
      <c r="IT135" s="81"/>
      <c r="IU135" s="81"/>
      <c r="IV135" s="81"/>
    </row>
    <row r="136" spans="1:256" s="33" customFormat="1" ht="17.25" customHeight="1">
      <c r="A136" s="66" t="str">
        <f t="shared" ca="1" si="48"/>
        <v>2.2.2.2</v>
      </c>
      <c r="B136" s="110" t="s">
        <v>108</v>
      </c>
      <c r="C136" s="99"/>
      <c r="D136" s="64"/>
      <c r="E136" s="64"/>
      <c r="F136" s="65"/>
      <c r="G136" s="68"/>
      <c r="H136" s="65">
        <f t="shared" si="45"/>
        <v>0</v>
      </c>
      <c r="I136" s="78">
        <f t="shared" si="46"/>
        <v>0</v>
      </c>
      <c r="J136" s="65">
        <f t="shared" si="47"/>
        <v>0</v>
      </c>
      <c r="K136" s="77">
        <v>100</v>
      </c>
      <c r="IP136" s="81"/>
      <c r="IQ136" s="81"/>
      <c r="IR136" s="81"/>
      <c r="IS136" s="81"/>
      <c r="IT136" s="81"/>
      <c r="IU136" s="81"/>
      <c r="IV136" s="81"/>
    </row>
    <row r="137" spans="1:256" s="33" customFormat="1" ht="17.25" customHeight="1">
      <c r="A137" s="66" t="str">
        <f t="shared" ca="1" si="48"/>
        <v>2.2.2.3</v>
      </c>
      <c r="B137" s="110" t="s">
        <v>109</v>
      </c>
      <c r="C137" s="99"/>
      <c r="D137" s="64"/>
      <c r="E137" s="64"/>
      <c r="F137" s="65"/>
      <c r="G137" s="68"/>
      <c r="H137" s="65">
        <f t="shared" si="45"/>
        <v>0</v>
      </c>
      <c r="I137" s="78">
        <f t="shared" si="46"/>
        <v>0</v>
      </c>
      <c r="J137" s="65">
        <f t="shared" si="47"/>
        <v>0</v>
      </c>
      <c r="K137" s="77">
        <v>100</v>
      </c>
      <c r="IP137" s="81"/>
      <c r="IQ137" s="81"/>
      <c r="IR137" s="81"/>
      <c r="IS137" s="81"/>
      <c r="IT137" s="81"/>
      <c r="IU137" s="81"/>
      <c r="IV137" s="81"/>
    </row>
    <row r="138" spans="1:256" s="33" customFormat="1" ht="17.25" customHeight="1">
      <c r="A138" s="66" t="str">
        <f t="shared" ca="1" si="48"/>
        <v>2.2.2.4</v>
      </c>
      <c r="B138" s="110" t="s">
        <v>110</v>
      </c>
      <c r="C138" s="99"/>
      <c r="D138" s="64"/>
      <c r="E138" s="64"/>
      <c r="F138" s="65"/>
      <c r="G138" s="68"/>
      <c r="H138" s="65">
        <f t="shared" si="45"/>
        <v>0</v>
      </c>
      <c r="I138" s="78">
        <f t="shared" si="46"/>
        <v>0</v>
      </c>
      <c r="J138" s="65">
        <f t="shared" si="47"/>
        <v>0</v>
      </c>
      <c r="K138" s="77">
        <v>100</v>
      </c>
      <c r="IP138" s="81"/>
      <c r="IQ138" s="81"/>
      <c r="IR138" s="81"/>
      <c r="IS138" s="81"/>
      <c r="IT138" s="81"/>
      <c r="IU138" s="81"/>
      <c r="IV138" s="81"/>
    </row>
    <row r="139" spans="1:256" s="33" customFormat="1" ht="17.25" customHeight="1">
      <c r="A139" s="66" t="str">
        <f t="shared" ca="1" si="48"/>
        <v>2.2.2.5</v>
      </c>
      <c r="B139" s="110" t="s">
        <v>111</v>
      </c>
      <c r="C139" s="99"/>
      <c r="D139" s="64"/>
      <c r="E139" s="64"/>
      <c r="F139" s="65"/>
      <c r="G139" s="68"/>
      <c r="H139" s="65">
        <f t="shared" si="45"/>
        <v>0</v>
      </c>
      <c r="I139" s="78">
        <f t="shared" si="46"/>
        <v>0</v>
      </c>
      <c r="J139" s="65">
        <f t="shared" si="47"/>
        <v>0</v>
      </c>
      <c r="K139" s="77">
        <v>100</v>
      </c>
      <c r="IP139" s="81"/>
      <c r="IQ139" s="81"/>
      <c r="IR139" s="81"/>
      <c r="IS139" s="81"/>
      <c r="IT139" s="81"/>
      <c r="IU139" s="81"/>
      <c r="IV139" s="81"/>
    </row>
    <row r="140" spans="1:256" s="33" customFormat="1" ht="17.25" customHeight="1">
      <c r="A140" s="66" t="str">
        <f t="shared" ca="1" si="48"/>
        <v>2.2.2.6</v>
      </c>
      <c r="B140" s="110" t="s">
        <v>112</v>
      </c>
      <c r="C140" s="99"/>
      <c r="D140" s="64"/>
      <c r="E140" s="64"/>
      <c r="F140" s="65"/>
      <c r="G140" s="68"/>
      <c r="H140" s="65">
        <f t="shared" si="45"/>
        <v>0</v>
      </c>
      <c r="I140" s="78">
        <f t="shared" si="46"/>
        <v>0</v>
      </c>
      <c r="J140" s="65">
        <f t="shared" si="47"/>
        <v>0</v>
      </c>
      <c r="K140" s="77">
        <v>100</v>
      </c>
      <c r="IP140" s="81"/>
      <c r="IQ140" s="81"/>
      <c r="IR140" s="81"/>
      <c r="IS140" s="81"/>
      <c r="IT140" s="81"/>
      <c r="IU140" s="81"/>
      <c r="IV140" s="81"/>
    </row>
    <row r="141" spans="1:256" s="33" customFormat="1" ht="17.25" customHeight="1">
      <c r="A141" s="66" t="str">
        <f t="shared" ca="1" si="48"/>
        <v>2.2.2.7</v>
      </c>
      <c r="B141" s="110" t="s">
        <v>113</v>
      </c>
      <c r="C141" s="99"/>
      <c r="D141" s="64"/>
      <c r="E141" s="64"/>
      <c r="F141" s="65"/>
      <c r="G141" s="68"/>
      <c r="H141" s="65">
        <f t="shared" si="45"/>
        <v>0</v>
      </c>
      <c r="I141" s="78">
        <f t="shared" si="46"/>
        <v>0</v>
      </c>
      <c r="J141" s="65">
        <f t="shared" si="47"/>
        <v>0</v>
      </c>
      <c r="K141" s="77">
        <v>100</v>
      </c>
      <c r="IP141" s="81"/>
      <c r="IQ141" s="81"/>
      <c r="IR141" s="81"/>
      <c r="IS141" s="81"/>
      <c r="IT141" s="81"/>
      <c r="IU141" s="81"/>
      <c r="IV141" s="81"/>
    </row>
    <row r="142" spans="1:256" s="33" customFormat="1" ht="17.25" customHeight="1">
      <c r="A142" s="66" t="str">
        <f ca="1">IF(ISERROR(VALUE(SUBSTITUTE(OFFSET(A142,-1,0,1,1),".",""))),"0.0.1",IF(ISERROR(FIND("`",SUBSTITUTE(OFFSET(A142,-1,0,1,1),".","`",2))),OFFSET(A142,-1,0,1,1)&amp;".1",LEFT(OFFSET(A142,-1,0,1,1),FIND("`",SUBSTITUTE(OFFSET(A142,-1,0,1,1),".","`",2)))&amp;IF(ISERROR(FIND("`",SUBSTITUTE(OFFSET(A142,-1,0,1,1),".","`",3))),VALUE(RIGHT(OFFSET(A142,-1,0,1,1),LEN(OFFSET(A142,-1,0,1,1))-FIND("`",SUBSTITUTE(OFFSET(A142,-1,0,1,1),".","`",2))))+1,VALUE(MID(OFFSET(A142,-1,0,1,1),FIND("`",SUBSTITUTE(OFFSET(A142,-1,0,1,1),".","`",2))+1,(FIND("`",SUBSTITUTE(OFFSET(A142,-1,0,1,1),".","`",3))-FIND("`",SUBSTITUTE(OFFSET(A142,-1,0,1,1),".","`",2))-1)))+1)))</f>
        <v>2.2.3</v>
      </c>
      <c r="B142" s="108" t="s">
        <v>114</v>
      </c>
      <c r="C142" s="99"/>
      <c r="D142" s="64"/>
      <c r="E142" s="64"/>
      <c r="F142" s="65"/>
      <c r="G142" s="68"/>
      <c r="H142" s="65">
        <f t="shared" si="45"/>
        <v>0</v>
      </c>
      <c r="I142" s="78">
        <f t="shared" si="46"/>
        <v>0</v>
      </c>
      <c r="J142" s="65">
        <f t="shared" si="47"/>
        <v>0</v>
      </c>
      <c r="K142" s="77">
        <v>100</v>
      </c>
      <c r="IP142" s="81"/>
      <c r="IQ142" s="81"/>
      <c r="IR142" s="81"/>
      <c r="IS142" s="81"/>
      <c r="IT142" s="81"/>
      <c r="IU142" s="81"/>
      <c r="IV142" s="81"/>
    </row>
    <row r="143" spans="1:256" s="33" customFormat="1" ht="17.25" customHeight="1">
      <c r="A143" s="66" t="str">
        <f t="shared" ca="1" si="48"/>
        <v>2.2.3.1</v>
      </c>
      <c r="B143" s="110" t="s">
        <v>115</v>
      </c>
      <c r="C143" s="99"/>
      <c r="D143" s="64"/>
      <c r="E143" s="64"/>
      <c r="F143" s="65"/>
      <c r="G143" s="68"/>
      <c r="H143" s="65">
        <f t="shared" si="45"/>
        <v>0</v>
      </c>
      <c r="I143" s="78">
        <f t="shared" si="46"/>
        <v>0</v>
      </c>
      <c r="J143" s="65">
        <f t="shared" si="47"/>
        <v>0</v>
      </c>
      <c r="K143" s="77">
        <v>100</v>
      </c>
      <c r="IP143" s="81"/>
      <c r="IQ143" s="81"/>
      <c r="IR143" s="81"/>
      <c r="IS143" s="81"/>
      <c r="IT143" s="81"/>
      <c r="IU143" s="81"/>
      <c r="IV143" s="81"/>
    </row>
    <row r="144" spans="1:256" s="33" customFormat="1" ht="17.25" customHeight="1">
      <c r="A144" s="66" t="str">
        <f t="shared" ca="1" si="48"/>
        <v>2.2.3.2</v>
      </c>
      <c r="B144" s="110" t="s">
        <v>116</v>
      </c>
      <c r="C144" s="99"/>
      <c r="D144" s="64"/>
      <c r="E144" s="64"/>
      <c r="F144" s="65"/>
      <c r="G144" s="68"/>
      <c r="H144" s="65">
        <f t="shared" si="45"/>
        <v>0</v>
      </c>
      <c r="I144" s="78">
        <f t="shared" si="46"/>
        <v>0</v>
      </c>
      <c r="J144" s="65">
        <f t="shared" si="47"/>
        <v>0</v>
      </c>
      <c r="K144" s="77">
        <v>100</v>
      </c>
      <c r="IP144" s="81"/>
      <c r="IQ144" s="81"/>
      <c r="IR144" s="81"/>
      <c r="IS144" s="81"/>
      <c r="IT144" s="81"/>
      <c r="IU144" s="81"/>
      <c r="IV144" s="81"/>
    </row>
    <row r="145" spans="1:256" s="33" customFormat="1" ht="17.25" customHeight="1">
      <c r="A145" s="66" t="str">
        <f t="shared" ca="1" si="48"/>
        <v>2.2.3.3</v>
      </c>
      <c r="B145" s="110" t="s">
        <v>117</v>
      </c>
      <c r="C145" s="99"/>
      <c r="D145" s="64"/>
      <c r="E145" s="64"/>
      <c r="F145" s="65"/>
      <c r="G145" s="68"/>
      <c r="H145" s="65">
        <f t="shared" si="45"/>
        <v>0</v>
      </c>
      <c r="I145" s="78">
        <f t="shared" si="46"/>
        <v>0</v>
      </c>
      <c r="J145" s="65">
        <f t="shared" si="47"/>
        <v>0</v>
      </c>
      <c r="K145" s="77">
        <v>100</v>
      </c>
      <c r="IP145" s="81"/>
      <c r="IQ145" s="81"/>
      <c r="IR145" s="81"/>
      <c r="IS145" s="81"/>
      <c r="IT145" s="81"/>
      <c r="IU145" s="81"/>
      <c r="IV145" s="81"/>
    </row>
    <row r="146" spans="1:256" s="33" customFormat="1" ht="17.25" customHeight="1">
      <c r="A146" s="66" t="str">
        <f t="shared" ca="1" si="48"/>
        <v>2.2.3.4</v>
      </c>
      <c r="B146" s="110" t="s">
        <v>118</v>
      </c>
      <c r="C146" s="99"/>
      <c r="D146" s="64"/>
      <c r="E146" s="64"/>
      <c r="F146" s="65"/>
      <c r="G146" s="68"/>
      <c r="H146" s="65">
        <f t="shared" si="45"/>
        <v>0</v>
      </c>
      <c r="I146" s="78">
        <f t="shared" si="46"/>
        <v>0</v>
      </c>
      <c r="J146" s="65">
        <f t="shared" si="47"/>
        <v>0</v>
      </c>
      <c r="K146" s="77">
        <v>100</v>
      </c>
      <c r="IP146" s="81"/>
      <c r="IQ146" s="81"/>
      <c r="IR146" s="81"/>
      <c r="IS146" s="81"/>
      <c r="IT146" s="81"/>
      <c r="IU146" s="81"/>
      <c r="IV146" s="81"/>
    </row>
    <row r="147" spans="1:256" s="33" customFormat="1" ht="17.25" customHeight="1">
      <c r="A147" s="66" t="str">
        <f t="shared" ca="1" si="48"/>
        <v>2.2.3.5</v>
      </c>
      <c r="B147" s="110" t="s">
        <v>119</v>
      </c>
      <c r="C147" s="99"/>
      <c r="D147" s="64"/>
      <c r="E147" s="64"/>
      <c r="F147" s="65"/>
      <c r="G147" s="68"/>
      <c r="H147" s="65">
        <f t="shared" si="45"/>
        <v>0</v>
      </c>
      <c r="I147" s="78">
        <f t="shared" si="46"/>
        <v>0</v>
      </c>
      <c r="J147" s="65">
        <f t="shared" si="47"/>
        <v>0</v>
      </c>
      <c r="K147" s="77">
        <v>100</v>
      </c>
      <c r="IP147" s="81"/>
      <c r="IQ147" s="81"/>
      <c r="IR147" s="81"/>
      <c r="IS147" s="81"/>
      <c r="IT147" s="81"/>
      <c r="IU147" s="81"/>
      <c r="IV147" s="81"/>
    </row>
    <row r="148" spans="1:256" s="33" customFormat="1" ht="17.25" customHeight="1">
      <c r="A148" s="66" t="str">
        <f t="shared" ca="1" si="48"/>
        <v>2.2.3.6</v>
      </c>
      <c r="B148" s="110" t="s">
        <v>110</v>
      </c>
      <c r="C148" s="99"/>
      <c r="D148" s="64"/>
      <c r="E148" s="64"/>
      <c r="F148" s="65"/>
      <c r="G148" s="68"/>
      <c r="H148" s="65">
        <f t="shared" si="45"/>
        <v>0</v>
      </c>
      <c r="I148" s="78">
        <f t="shared" si="46"/>
        <v>0</v>
      </c>
      <c r="J148" s="65">
        <f t="shared" si="47"/>
        <v>0</v>
      </c>
      <c r="K148" s="77">
        <v>100</v>
      </c>
      <c r="IP148" s="81"/>
      <c r="IQ148" s="81"/>
      <c r="IR148" s="81"/>
      <c r="IS148" s="81"/>
      <c r="IT148" s="81"/>
      <c r="IU148" s="81"/>
      <c r="IV148" s="81"/>
    </row>
    <row r="149" spans="1:256" s="33" customFormat="1" ht="17.25" customHeight="1">
      <c r="A149" s="66" t="str">
        <f t="shared" ca="1" si="48"/>
        <v>2.2.3.7</v>
      </c>
      <c r="B149" s="110" t="s">
        <v>120</v>
      </c>
      <c r="C149" s="99"/>
      <c r="D149" s="64"/>
      <c r="E149" s="64"/>
      <c r="F149" s="65"/>
      <c r="G149" s="68"/>
      <c r="H149" s="65">
        <f t="shared" si="45"/>
        <v>0</v>
      </c>
      <c r="I149" s="78">
        <f t="shared" si="46"/>
        <v>0</v>
      </c>
      <c r="J149" s="65">
        <f t="shared" si="47"/>
        <v>0</v>
      </c>
      <c r="K149" s="77">
        <v>100</v>
      </c>
      <c r="IP149" s="81"/>
      <c r="IQ149" s="81"/>
      <c r="IR149" s="81"/>
      <c r="IS149" s="81"/>
      <c r="IT149" s="81"/>
      <c r="IU149" s="81"/>
      <c r="IV149" s="81"/>
    </row>
    <row r="150" spans="1:256" s="33" customFormat="1" ht="17.25" customHeight="1">
      <c r="A150" s="66" t="str">
        <f ca="1">IF(ISERROR(VALUE(SUBSTITUTE(OFFSET(A150,-1,0,1,1),".",""))),"0.0.1",IF(ISERROR(FIND("`",SUBSTITUTE(OFFSET(A150,-1,0,1,1),".","`",2))),OFFSET(A150,-1,0,1,1)&amp;".1",LEFT(OFFSET(A150,-1,0,1,1),FIND("`",SUBSTITUTE(OFFSET(A150,-1,0,1,1),".","`",2)))&amp;IF(ISERROR(FIND("`",SUBSTITUTE(OFFSET(A150,-1,0,1,1),".","`",3))),VALUE(RIGHT(OFFSET(A150,-1,0,1,1),LEN(OFFSET(A150,-1,0,1,1))-FIND("`",SUBSTITUTE(OFFSET(A150,-1,0,1,1),".","`",2))))+1,VALUE(MID(OFFSET(A150,-1,0,1,1),FIND("`",SUBSTITUTE(OFFSET(A150,-1,0,1,1),".","`",2))+1,(FIND("`",SUBSTITUTE(OFFSET(A150,-1,0,1,1),".","`",3))-FIND("`",SUBSTITUTE(OFFSET(A150,-1,0,1,1),".","`",2))-1)))+1)))</f>
        <v>2.2.4</v>
      </c>
      <c r="B150" s="108" t="s">
        <v>121</v>
      </c>
      <c r="C150" s="67"/>
      <c r="D150" s="60"/>
      <c r="E150" s="60"/>
      <c r="F150" s="65"/>
      <c r="G150" s="68"/>
      <c r="H150" s="65">
        <f t="shared" si="45"/>
        <v>0</v>
      </c>
      <c r="I150" s="78">
        <f t="shared" si="46"/>
        <v>0</v>
      </c>
      <c r="J150" s="65">
        <f t="shared" si="47"/>
        <v>0</v>
      </c>
      <c r="K150" s="77">
        <v>100</v>
      </c>
      <c r="IP150" s="81"/>
      <c r="IQ150" s="81"/>
      <c r="IR150" s="81"/>
      <c r="IS150" s="81"/>
      <c r="IT150" s="81"/>
      <c r="IU150" s="81"/>
      <c r="IV150" s="81"/>
    </row>
    <row r="151" spans="1:256" s="33" customFormat="1" ht="17.25" customHeight="1">
      <c r="A151" s="66" t="str">
        <f t="shared" ca="1" si="48"/>
        <v>2.2.4.1</v>
      </c>
      <c r="B151" s="110" t="s">
        <v>122</v>
      </c>
      <c r="C151" s="98"/>
      <c r="D151" s="64"/>
      <c r="E151" s="64"/>
      <c r="F151" s="65"/>
      <c r="G151" s="68"/>
      <c r="H151" s="65">
        <f t="shared" si="45"/>
        <v>0</v>
      </c>
      <c r="I151" s="78">
        <f t="shared" si="46"/>
        <v>0</v>
      </c>
      <c r="J151" s="65">
        <f t="shared" si="47"/>
        <v>0</v>
      </c>
      <c r="K151" s="77">
        <v>100</v>
      </c>
      <c r="IP151" s="81"/>
      <c r="IQ151" s="81"/>
      <c r="IR151" s="81"/>
      <c r="IS151" s="81"/>
      <c r="IT151" s="81"/>
      <c r="IU151" s="81"/>
      <c r="IV151" s="81"/>
    </row>
    <row r="152" spans="1:256" s="33" customFormat="1" ht="17.25" customHeight="1">
      <c r="A152" s="66" t="str">
        <f t="shared" ca="1" si="48"/>
        <v>2.2.4.2</v>
      </c>
      <c r="B152" s="110" t="s">
        <v>123</v>
      </c>
      <c r="C152" s="98"/>
      <c r="D152" s="60"/>
      <c r="E152" s="60"/>
      <c r="F152" s="65"/>
      <c r="G152" s="68"/>
      <c r="H152" s="65">
        <f t="shared" si="45"/>
        <v>0</v>
      </c>
      <c r="I152" s="78">
        <f t="shared" si="46"/>
        <v>0</v>
      </c>
      <c r="J152" s="65">
        <f t="shared" si="47"/>
        <v>0</v>
      </c>
      <c r="K152" s="77">
        <v>100</v>
      </c>
      <c r="IP152" s="81"/>
      <c r="IQ152" s="81"/>
      <c r="IR152" s="81"/>
      <c r="IS152" s="81"/>
      <c r="IT152" s="81"/>
      <c r="IU152" s="81"/>
      <c r="IV152" s="81"/>
    </row>
    <row r="153" spans="1:256" s="33" customFormat="1" ht="17.25" customHeight="1">
      <c r="A153" s="66" t="str">
        <f t="shared" ca="1" si="48"/>
        <v>2.2.4.3</v>
      </c>
      <c r="B153" s="110" t="s">
        <v>124</v>
      </c>
      <c r="C153" s="98"/>
      <c r="D153" s="60"/>
      <c r="E153" s="60"/>
      <c r="F153" s="65"/>
      <c r="G153" s="68"/>
      <c r="H153" s="65">
        <f t="shared" ref="H153:H216" si="52">NETWORKDAYS(D153,E153)</f>
        <v>0</v>
      </c>
      <c r="I153" s="78">
        <f t="shared" ref="I153:I190" si="53">ROUNDDOWN(G153*F153,0)</f>
        <v>0</v>
      </c>
      <c r="J153" s="65">
        <f t="shared" ref="J153:J190" si="54">F153-I153</f>
        <v>0</v>
      </c>
      <c r="K153" s="77">
        <v>100</v>
      </c>
      <c r="IP153" s="81"/>
      <c r="IQ153" s="81"/>
      <c r="IR153" s="81"/>
      <c r="IS153" s="81"/>
      <c r="IT153" s="81"/>
      <c r="IU153" s="81"/>
      <c r="IV153" s="81"/>
    </row>
    <row r="154" spans="1:256" s="33" customFormat="1" ht="17.25" customHeight="1">
      <c r="A154" s="66" t="str">
        <f t="shared" ca="1" si="48"/>
        <v>2.2.4.4</v>
      </c>
      <c r="B154" s="110" t="s">
        <v>117</v>
      </c>
      <c r="C154" s="98"/>
      <c r="D154" s="60"/>
      <c r="E154" s="60"/>
      <c r="F154" s="65"/>
      <c r="G154" s="68"/>
      <c r="H154" s="65">
        <f t="shared" si="52"/>
        <v>0</v>
      </c>
      <c r="I154" s="78">
        <f t="shared" si="53"/>
        <v>0</v>
      </c>
      <c r="J154" s="65">
        <f t="shared" si="54"/>
        <v>0</v>
      </c>
      <c r="K154" s="77">
        <v>100</v>
      </c>
      <c r="IP154" s="81"/>
      <c r="IQ154" s="81"/>
      <c r="IR154" s="81"/>
      <c r="IS154" s="81"/>
      <c r="IT154" s="81"/>
      <c r="IU154" s="81"/>
      <c r="IV154" s="81"/>
    </row>
    <row r="155" spans="1:256" s="33" customFormat="1" ht="17.25" customHeight="1">
      <c r="A155" s="66" t="str">
        <f t="shared" ca="1" si="48"/>
        <v>2.2.4.5</v>
      </c>
      <c r="B155" s="110" t="s">
        <v>118</v>
      </c>
      <c r="C155" s="98"/>
      <c r="D155" s="60"/>
      <c r="E155" s="60"/>
      <c r="F155" s="65"/>
      <c r="G155" s="68"/>
      <c r="H155" s="65">
        <f t="shared" si="52"/>
        <v>0</v>
      </c>
      <c r="I155" s="78">
        <f t="shared" si="53"/>
        <v>0</v>
      </c>
      <c r="J155" s="65">
        <f t="shared" si="54"/>
        <v>0</v>
      </c>
      <c r="K155" s="77">
        <v>100</v>
      </c>
      <c r="IP155" s="81"/>
      <c r="IQ155" s="81"/>
      <c r="IR155" s="81"/>
      <c r="IS155" s="81"/>
      <c r="IT155" s="81"/>
      <c r="IU155" s="81"/>
      <c r="IV155" s="81"/>
    </row>
    <row r="156" spans="1:256" s="33" customFormat="1" ht="17.25" customHeight="1">
      <c r="A156" s="66" t="str">
        <f t="shared" ca="1" si="48"/>
        <v>2.2.4.6</v>
      </c>
      <c r="B156" s="110" t="s">
        <v>125</v>
      </c>
      <c r="C156" s="98"/>
      <c r="D156" s="60"/>
      <c r="E156" s="60"/>
      <c r="F156" s="65"/>
      <c r="G156" s="68"/>
      <c r="H156" s="65">
        <f t="shared" si="52"/>
        <v>0</v>
      </c>
      <c r="I156" s="78">
        <f t="shared" si="53"/>
        <v>0</v>
      </c>
      <c r="J156" s="65">
        <f t="shared" si="54"/>
        <v>0</v>
      </c>
      <c r="K156" s="77">
        <v>100</v>
      </c>
      <c r="IP156" s="81"/>
      <c r="IQ156" s="81"/>
      <c r="IR156" s="81"/>
      <c r="IS156" s="81"/>
      <c r="IT156" s="81"/>
      <c r="IU156" s="81"/>
      <c r="IV156" s="81"/>
    </row>
    <row r="157" spans="1:256" s="33" customFormat="1" ht="17.25" customHeight="1">
      <c r="A157" s="66" t="str">
        <f t="shared" ca="1" si="48"/>
        <v>2.2.4.7</v>
      </c>
      <c r="B157" s="110" t="s">
        <v>110</v>
      </c>
      <c r="C157" s="98"/>
      <c r="D157" s="60"/>
      <c r="E157" s="60"/>
      <c r="F157" s="65"/>
      <c r="G157" s="68"/>
      <c r="H157" s="65">
        <f t="shared" si="52"/>
        <v>0</v>
      </c>
      <c r="I157" s="78">
        <f t="shared" si="53"/>
        <v>0</v>
      </c>
      <c r="J157" s="65">
        <f t="shared" si="54"/>
        <v>0</v>
      </c>
      <c r="K157" s="77">
        <v>100</v>
      </c>
      <c r="IP157" s="81"/>
      <c r="IQ157" s="81"/>
      <c r="IR157" s="81"/>
      <c r="IS157" s="81"/>
      <c r="IT157" s="81"/>
      <c r="IU157" s="81"/>
      <c r="IV157" s="81"/>
    </row>
    <row r="158" spans="1:256" s="33" customFormat="1" ht="17.25" customHeight="1">
      <c r="A158" s="66" t="str">
        <f t="shared" ca="1" si="48"/>
        <v>2.2.4.8</v>
      </c>
      <c r="B158" s="110" t="s">
        <v>126</v>
      </c>
      <c r="C158" s="98"/>
      <c r="D158" s="60"/>
      <c r="E158" s="60"/>
      <c r="F158" s="65"/>
      <c r="G158" s="68"/>
      <c r="H158" s="65">
        <f t="shared" si="52"/>
        <v>0</v>
      </c>
      <c r="I158" s="78">
        <f t="shared" si="53"/>
        <v>0</v>
      </c>
      <c r="J158" s="65">
        <f t="shared" si="54"/>
        <v>0</v>
      </c>
      <c r="K158" s="77">
        <v>100</v>
      </c>
      <c r="IP158" s="81"/>
      <c r="IQ158" s="81"/>
      <c r="IR158" s="81"/>
      <c r="IS158" s="81"/>
      <c r="IT158" s="81"/>
      <c r="IU158" s="81"/>
      <c r="IV158" s="81"/>
    </row>
    <row r="159" spans="1:256" s="33" customFormat="1" ht="17.25" customHeight="1">
      <c r="A159" s="66" t="str">
        <f ca="1">IF(ISERROR(VALUE(SUBSTITUTE(OFFSET(A159,-1,0,1,1),".",""))),"0.0.1",IF(ISERROR(FIND("`",SUBSTITUTE(OFFSET(A159,-1,0,1,1),".","`",2))),OFFSET(A159,-1,0,1,1)&amp;".1",LEFT(OFFSET(A159,-1,0,1,1),FIND("`",SUBSTITUTE(OFFSET(A159,-1,0,1,1),".","`",2)))&amp;IF(ISERROR(FIND("`",SUBSTITUTE(OFFSET(A159,-1,0,1,1),".","`",3))),VALUE(RIGHT(OFFSET(A159,-1,0,1,1),LEN(OFFSET(A159,-1,0,1,1))-FIND("`",SUBSTITUTE(OFFSET(A159,-1,0,1,1),".","`",2))))+1,VALUE(MID(OFFSET(A159,-1,0,1,1),FIND("`",SUBSTITUTE(OFFSET(A159,-1,0,1,1),".","`",2))+1,(FIND("`",SUBSTITUTE(OFFSET(A159,-1,0,1,1),".","`",3))-FIND("`",SUBSTITUTE(OFFSET(A159,-1,0,1,1),".","`",2))-1)))+1)))</f>
        <v>2.2.5</v>
      </c>
      <c r="B159" s="108" t="s">
        <v>127</v>
      </c>
      <c r="C159" s="98"/>
      <c r="D159" s="60"/>
      <c r="E159" s="60"/>
      <c r="F159" s="65"/>
      <c r="G159" s="68"/>
      <c r="H159" s="65">
        <f t="shared" si="52"/>
        <v>0</v>
      </c>
      <c r="I159" s="78">
        <f t="shared" si="53"/>
        <v>0</v>
      </c>
      <c r="J159" s="65">
        <f t="shared" si="54"/>
        <v>0</v>
      </c>
      <c r="K159" s="77">
        <v>100</v>
      </c>
      <c r="IP159" s="81"/>
      <c r="IQ159" s="81"/>
      <c r="IR159" s="81"/>
      <c r="IS159" s="81"/>
      <c r="IT159" s="81"/>
      <c r="IU159" s="81"/>
      <c r="IV159" s="81"/>
    </row>
    <row r="160" spans="1:256" s="33" customFormat="1" ht="17.25" customHeight="1">
      <c r="A160" s="66" t="str">
        <f t="shared" ca="1" si="48"/>
        <v>2.2.5.1</v>
      </c>
      <c r="B160" s="110" t="s">
        <v>128</v>
      </c>
      <c r="C160" s="98"/>
      <c r="D160" s="64"/>
      <c r="E160" s="64"/>
      <c r="F160" s="65"/>
      <c r="G160" s="68"/>
      <c r="H160" s="65">
        <f t="shared" si="52"/>
        <v>0</v>
      </c>
      <c r="I160" s="78">
        <f t="shared" si="53"/>
        <v>0</v>
      </c>
      <c r="J160" s="65">
        <f t="shared" si="54"/>
        <v>0</v>
      </c>
      <c r="K160" s="77">
        <v>100</v>
      </c>
      <c r="IP160" s="81"/>
      <c r="IQ160" s="81"/>
      <c r="IR160" s="81"/>
      <c r="IS160" s="81"/>
      <c r="IT160" s="81"/>
      <c r="IU160" s="81"/>
      <c r="IV160" s="81"/>
    </row>
    <row r="161" spans="1:247" s="81" customFormat="1" ht="17.25" customHeight="1">
      <c r="A161" s="66" t="str">
        <f t="shared" ca="1" si="48"/>
        <v>2.2.5.2</v>
      </c>
      <c r="B161" s="110" t="s">
        <v>129</v>
      </c>
      <c r="C161" s="98"/>
      <c r="D161" s="64"/>
      <c r="E161" s="64"/>
      <c r="F161" s="65"/>
      <c r="G161" s="68"/>
      <c r="H161" s="65">
        <f t="shared" si="52"/>
        <v>0</v>
      </c>
      <c r="I161" s="78">
        <f t="shared" si="53"/>
        <v>0</v>
      </c>
      <c r="J161" s="65">
        <f t="shared" si="54"/>
        <v>0</v>
      </c>
      <c r="K161" s="77">
        <v>100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33"/>
      <c r="HQ161" s="33"/>
      <c r="HR161" s="33"/>
      <c r="HS161" s="33"/>
      <c r="HT161" s="33"/>
      <c r="HU161" s="33"/>
      <c r="HV161" s="33"/>
      <c r="HW161" s="33"/>
      <c r="HX161" s="33"/>
      <c r="HY161" s="33"/>
      <c r="HZ161" s="33"/>
      <c r="IA161" s="33"/>
      <c r="IB161" s="33"/>
      <c r="IC161" s="33"/>
      <c r="ID161" s="33"/>
      <c r="IE161" s="33"/>
      <c r="IF161" s="33"/>
      <c r="IG161" s="33"/>
      <c r="IH161" s="33"/>
      <c r="II161" s="33"/>
      <c r="IJ161" s="33"/>
      <c r="IK161" s="33"/>
      <c r="IL161" s="33"/>
      <c r="IM161" s="33"/>
    </row>
    <row r="162" spans="1:247" s="81" customFormat="1" ht="17.25" customHeight="1">
      <c r="A162" s="66" t="str">
        <f t="shared" ca="1" si="48"/>
        <v>2.2.5.3</v>
      </c>
      <c r="B162" s="110" t="s">
        <v>130</v>
      </c>
      <c r="C162" s="98"/>
      <c r="D162" s="64"/>
      <c r="E162" s="64"/>
      <c r="F162" s="65"/>
      <c r="G162" s="68"/>
      <c r="H162" s="65">
        <f t="shared" si="52"/>
        <v>0</v>
      </c>
      <c r="I162" s="78">
        <f t="shared" si="53"/>
        <v>0</v>
      </c>
      <c r="J162" s="65">
        <f t="shared" si="54"/>
        <v>0</v>
      </c>
      <c r="K162" s="77">
        <v>100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33"/>
      <c r="HQ162" s="33"/>
      <c r="HR162" s="33"/>
      <c r="HS162" s="33"/>
      <c r="HT162" s="33"/>
      <c r="HU162" s="33"/>
      <c r="HV162" s="33"/>
      <c r="HW162" s="33"/>
      <c r="HX162" s="33"/>
      <c r="HY162" s="33"/>
      <c r="HZ162" s="33"/>
      <c r="IA162" s="33"/>
      <c r="IB162" s="33"/>
      <c r="IC162" s="33"/>
      <c r="ID162" s="33"/>
      <c r="IE162" s="33"/>
      <c r="IF162" s="33"/>
      <c r="IG162" s="33"/>
      <c r="IH162" s="33"/>
      <c r="II162" s="33"/>
      <c r="IJ162" s="33"/>
      <c r="IK162" s="33"/>
      <c r="IL162" s="33"/>
      <c r="IM162" s="33"/>
    </row>
    <row r="163" spans="1:247" s="81" customFormat="1" ht="17.25" customHeight="1">
      <c r="A163" s="66" t="str">
        <f t="shared" ca="1" si="48"/>
        <v>2.2.5.4</v>
      </c>
      <c r="B163" s="110" t="s">
        <v>131</v>
      </c>
      <c r="C163" s="98"/>
      <c r="D163" s="64"/>
      <c r="E163" s="64"/>
      <c r="F163" s="65"/>
      <c r="G163" s="68"/>
      <c r="H163" s="65">
        <f t="shared" si="52"/>
        <v>0</v>
      </c>
      <c r="I163" s="78">
        <f t="shared" si="53"/>
        <v>0</v>
      </c>
      <c r="J163" s="65">
        <f t="shared" si="54"/>
        <v>0</v>
      </c>
      <c r="K163" s="77">
        <v>100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33"/>
      <c r="HQ163" s="33"/>
      <c r="HR163" s="33"/>
      <c r="HS163" s="33"/>
      <c r="HT163" s="33"/>
      <c r="HU163" s="33"/>
      <c r="HV163" s="33"/>
      <c r="HW163" s="33"/>
      <c r="HX163" s="33"/>
      <c r="HY163" s="33"/>
      <c r="HZ163" s="33"/>
      <c r="IA163" s="33"/>
      <c r="IB163" s="33"/>
      <c r="IC163" s="33"/>
      <c r="ID163" s="33"/>
      <c r="IE163" s="33"/>
      <c r="IF163" s="33"/>
      <c r="IG163" s="33"/>
      <c r="IH163" s="33"/>
      <c r="II163" s="33"/>
      <c r="IJ163" s="33"/>
      <c r="IK163" s="33"/>
      <c r="IL163" s="33"/>
      <c r="IM163" s="33"/>
    </row>
    <row r="164" spans="1:247" s="35" customFormat="1" ht="17.25" customHeight="1">
      <c r="A164" s="66" t="str">
        <f t="shared" ca="1" si="48"/>
        <v>2.2.5.5</v>
      </c>
      <c r="B164" s="110" t="s">
        <v>132</v>
      </c>
      <c r="C164" s="98"/>
      <c r="D164" s="64"/>
      <c r="E164" s="64"/>
      <c r="F164" s="65"/>
      <c r="G164" s="68"/>
      <c r="H164" s="65">
        <f t="shared" si="52"/>
        <v>0</v>
      </c>
      <c r="I164" s="78">
        <f t="shared" si="53"/>
        <v>0</v>
      </c>
      <c r="J164" s="65">
        <f t="shared" si="54"/>
        <v>0</v>
      </c>
      <c r="K164" s="77">
        <v>100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  <c r="HI164" s="33"/>
      <c r="HJ164" s="33"/>
      <c r="HK164" s="33"/>
      <c r="HL164" s="33"/>
      <c r="HM164" s="33"/>
      <c r="HN164" s="33"/>
      <c r="HO164" s="33"/>
      <c r="HP164" s="33"/>
      <c r="HQ164" s="33"/>
      <c r="HR164" s="33"/>
      <c r="HS164" s="33"/>
      <c r="HT164" s="33"/>
      <c r="HU164" s="33"/>
      <c r="HV164" s="33"/>
      <c r="HW164" s="33"/>
      <c r="HX164" s="33"/>
      <c r="HY164" s="33"/>
      <c r="HZ164" s="33"/>
      <c r="IA164" s="33"/>
      <c r="IB164" s="33"/>
      <c r="IC164" s="33"/>
      <c r="ID164" s="33"/>
      <c r="IE164" s="33"/>
      <c r="IF164" s="33"/>
      <c r="IG164" s="33"/>
      <c r="IH164" s="33"/>
      <c r="II164" s="33"/>
      <c r="IJ164" s="33"/>
      <c r="IK164" s="33"/>
      <c r="IL164" s="33"/>
      <c r="IM164" s="33"/>
    </row>
    <row r="165" spans="1:247" s="35" customFormat="1" ht="17.25" customHeight="1">
      <c r="A165" s="66" t="str">
        <f t="shared" ca="1" si="48"/>
        <v>2.2.5.6</v>
      </c>
      <c r="B165" s="110" t="s">
        <v>133</v>
      </c>
      <c r="C165" s="98"/>
      <c r="D165" s="64"/>
      <c r="E165" s="64"/>
      <c r="F165" s="65"/>
      <c r="G165" s="68"/>
      <c r="H165" s="65">
        <f t="shared" si="52"/>
        <v>0</v>
      </c>
      <c r="I165" s="78">
        <f t="shared" si="53"/>
        <v>0</v>
      </c>
      <c r="J165" s="65">
        <f t="shared" si="54"/>
        <v>0</v>
      </c>
      <c r="K165" s="77">
        <v>100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  <c r="HI165" s="33"/>
      <c r="HJ165" s="33"/>
      <c r="HK165" s="33"/>
      <c r="HL165" s="33"/>
      <c r="HM165" s="33"/>
      <c r="HN165" s="33"/>
      <c r="HO165" s="33"/>
      <c r="HP165" s="33"/>
      <c r="HQ165" s="33"/>
      <c r="HR165" s="33"/>
      <c r="HS165" s="33"/>
      <c r="HT165" s="33"/>
      <c r="HU165" s="33"/>
      <c r="HV165" s="33"/>
      <c r="HW165" s="33"/>
      <c r="HX165" s="33"/>
      <c r="HY165" s="33"/>
      <c r="HZ165" s="33"/>
      <c r="IA165" s="33"/>
      <c r="IB165" s="33"/>
      <c r="IC165" s="33"/>
      <c r="ID165" s="33"/>
      <c r="IE165" s="33"/>
      <c r="IF165" s="33"/>
      <c r="IG165" s="33"/>
      <c r="IH165" s="33"/>
      <c r="II165" s="33"/>
      <c r="IJ165" s="33"/>
      <c r="IK165" s="33"/>
      <c r="IL165" s="33"/>
      <c r="IM165" s="33"/>
    </row>
    <row r="166" spans="1:247" s="35" customFormat="1" ht="17.25" customHeight="1">
      <c r="A166" s="59">
        <f ca="1">IF(ISERROR(VALUE(SUBSTITUTE(OFFSET(A166,-1,0,1,1),".",""))),1,IF(ISERROR(FIND("`",SUBSTITUTE(OFFSET(A166,-1,0,1,1),".","`",1))),VALUE(OFFSET(A166,-1,0,1,1))+1,VALUE(LEFT(OFFSET(A166,-1,0,1,1),FIND("`",SUBSTITUTE(OFFSET(A166,-1,0,1,1),".","`",1))-1))+1))</f>
        <v>3</v>
      </c>
      <c r="B166" s="105" t="s">
        <v>137</v>
      </c>
      <c r="C166" s="98" t="s">
        <v>161</v>
      </c>
      <c r="D166" s="64"/>
      <c r="E166" s="64"/>
      <c r="F166" s="65"/>
      <c r="G166" s="68"/>
      <c r="H166" s="65">
        <f t="shared" si="52"/>
        <v>0</v>
      </c>
      <c r="I166" s="78">
        <f t="shared" si="53"/>
        <v>0</v>
      </c>
      <c r="J166" s="65">
        <f t="shared" si="54"/>
        <v>0</v>
      </c>
      <c r="K166" s="77">
        <v>100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  <c r="HI166" s="33"/>
      <c r="HJ166" s="33"/>
      <c r="HK166" s="33"/>
      <c r="HL166" s="33"/>
      <c r="HM166" s="33"/>
      <c r="HN166" s="33"/>
      <c r="HO166" s="33"/>
      <c r="HP166" s="33"/>
      <c r="HQ166" s="33"/>
      <c r="HR166" s="33"/>
      <c r="HS166" s="33"/>
      <c r="HT166" s="33"/>
      <c r="HU166" s="33"/>
      <c r="HV166" s="33"/>
      <c r="HW166" s="33"/>
      <c r="HX166" s="33"/>
      <c r="HY166" s="33"/>
      <c r="HZ166" s="33"/>
      <c r="IA166" s="33"/>
      <c r="IB166" s="33"/>
      <c r="IC166" s="33"/>
      <c r="ID166" s="33"/>
      <c r="IE166" s="33"/>
      <c r="IF166" s="33"/>
      <c r="IG166" s="33"/>
      <c r="IH166" s="33"/>
      <c r="II166" s="33"/>
      <c r="IJ166" s="33"/>
      <c r="IK166" s="33"/>
      <c r="IL166" s="33"/>
      <c r="IM166" s="33"/>
    </row>
    <row r="167" spans="1:247" s="35" customFormat="1" ht="17.25" customHeight="1">
      <c r="A167" s="66" t="str">
        <f ca="1">IF(ISERROR(VALUE(SUBSTITUTE(OFFSET(A167,-1,0,1,1),".",""))),"0.0.1",IF(ISERROR(FIND("`",SUBSTITUTE(OFFSET(A167,-1,0,1,1),".","`",2))),OFFSET(A167,-1,0,1,1)&amp;".1",LEFT(OFFSET(A167,-1,0,1,1),FIND("`",SUBSTITUTE(OFFSET(A167,-1,0,1,1),".","`",2)))&amp;IF(ISERROR(FIND("`",SUBSTITUTE(OFFSET(A167,-1,0,1,1),".","`",3))),VALUE(RIGHT(OFFSET(A167,-1,0,1,1),LEN(OFFSET(A167,-1,0,1,1))-FIND("`",SUBSTITUTE(OFFSET(A167,-1,0,1,1),".","`",2))))+1,VALUE(MID(OFFSET(A167,-1,0,1,1),FIND("`",SUBSTITUTE(OFFSET(A167,-1,0,1,1),".","`",2))+1,(FIND("`",SUBSTITUTE(OFFSET(A167,-1,0,1,1),".","`",3))-FIND("`",SUBSTITUTE(OFFSET(A167,-1,0,1,1),".","`",2))-1)))+1)))</f>
        <v>3.1</v>
      </c>
      <c r="B167" s="107" t="s">
        <v>101</v>
      </c>
      <c r="C167" s="98"/>
      <c r="D167" s="64"/>
      <c r="E167" s="64"/>
      <c r="F167" s="65"/>
      <c r="G167" s="68"/>
      <c r="H167" s="65">
        <f t="shared" si="52"/>
        <v>0</v>
      </c>
      <c r="I167" s="78">
        <f t="shared" si="53"/>
        <v>0</v>
      </c>
      <c r="J167" s="65">
        <f t="shared" si="54"/>
        <v>0</v>
      </c>
      <c r="K167" s="77">
        <v>100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  <c r="HI167" s="33"/>
      <c r="HJ167" s="33"/>
      <c r="HK167" s="33"/>
      <c r="HL167" s="33"/>
      <c r="HM167" s="33"/>
      <c r="HN167" s="33"/>
      <c r="HO167" s="33"/>
      <c r="HP167" s="33"/>
      <c r="HQ167" s="33"/>
      <c r="HR167" s="33"/>
      <c r="HS167" s="33"/>
      <c r="HT167" s="33"/>
      <c r="HU167" s="33"/>
      <c r="HV167" s="33"/>
      <c r="HW167" s="33"/>
      <c r="HX167" s="33"/>
      <c r="HY167" s="33"/>
      <c r="HZ167" s="33"/>
      <c r="IA167" s="33"/>
      <c r="IB167" s="33"/>
      <c r="IC167" s="33"/>
      <c r="ID167" s="33"/>
      <c r="IE167" s="33"/>
      <c r="IF167" s="33"/>
      <c r="IG167" s="33"/>
      <c r="IH167" s="33"/>
      <c r="II167" s="33"/>
      <c r="IJ167" s="33"/>
      <c r="IK167" s="33"/>
      <c r="IL167" s="33"/>
      <c r="IM167" s="33"/>
    </row>
    <row r="168" spans="1:247" s="35" customFormat="1" ht="17.25" customHeight="1">
      <c r="A168" s="66" t="str">
        <f t="shared" ref="A168:A203" ca="1" si="55">IF(ISERROR(VALUE(SUBSTITUTE(OFFSET(A168,-1,0,1,1),".",""))),"0.0.1",IF(ISERROR(FIND("`",SUBSTITUTE(OFFSET(A168,-1,0,1,1),".","`",2))),OFFSET(A168,-1,0,1,1)&amp;".1",LEFT(OFFSET(A168,-1,0,1,1),FIND("`",SUBSTITUTE(OFFSET(A168,-1,0,1,1),".","`",2)))&amp;IF(ISERROR(FIND("`",SUBSTITUTE(OFFSET(A168,-1,0,1,1),".","`",3))),VALUE(RIGHT(OFFSET(A168,-1,0,1,1),LEN(OFFSET(A168,-1,0,1,1))-FIND("`",SUBSTITUTE(OFFSET(A168,-1,0,1,1),".","`",2))))+1,VALUE(MID(OFFSET(A168,-1,0,1,1),FIND("`",SUBSTITUTE(OFFSET(A168,-1,0,1,1),".","`",2))+1,(FIND("`",SUBSTITUTE(OFFSET(A168,-1,0,1,1),".","`",3))-FIND("`",SUBSTITUTE(OFFSET(A168,-1,0,1,1),".","`",2))-1)))+1)))</f>
        <v>3.1.1</v>
      </c>
      <c r="B168" s="109" t="s">
        <v>102</v>
      </c>
      <c r="C168" s="98"/>
      <c r="D168" s="64"/>
      <c r="E168" s="64"/>
      <c r="F168" s="65"/>
      <c r="G168" s="68"/>
      <c r="H168" s="65">
        <f t="shared" si="52"/>
        <v>0</v>
      </c>
      <c r="I168" s="78">
        <f t="shared" si="53"/>
        <v>0</v>
      </c>
      <c r="J168" s="65">
        <f t="shared" si="54"/>
        <v>0</v>
      </c>
      <c r="K168" s="77">
        <v>100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  <c r="HI168" s="33"/>
      <c r="HJ168" s="33"/>
      <c r="HK168" s="33"/>
      <c r="HL168" s="33"/>
      <c r="HM168" s="33"/>
      <c r="HN168" s="33"/>
      <c r="HO168" s="33"/>
      <c r="HP168" s="33"/>
      <c r="HQ168" s="33"/>
      <c r="HR168" s="33"/>
      <c r="HS168" s="33"/>
      <c r="HT168" s="33"/>
      <c r="HU168" s="33"/>
      <c r="HV168" s="33"/>
      <c r="HW168" s="33"/>
      <c r="HX168" s="33"/>
      <c r="HY168" s="33"/>
      <c r="HZ168" s="33"/>
      <c r="IA168" s="33"/>
      <c r="IB168" s="33"/>
      <c r="IC168" s="33"/>
      <c r="ID168" s="33"/>
      <c r="IE168" s="33"/>
      <c r="IF168" s="33"/>
      <c r="IG168" s="33"/>
      <c r="IH168" s="33"/>
      <c r="II168" s="33"/>
      <c r="IJ168" s="33"/>
      <c r="IK168" s="33"/>
      <c r="IL168" s="33"/>
      <c r="IM168" s="33"/>
    </row>
    <row r="169" spans="1:247" s="35" customFormat="1" ht="17.25" customHeight="1">
      <c r="A169" s="66" t="str">
        <f t="shared" ca="1" si="55"/>
        <v>3.1.2</v>
      </c>
      <c r="B169" s="110" t="s">
        <v>103</v>
      </c>
      <c r="C169" s="98"/>
      <c r="D169" s="64"/>
      <c r="E169" s="64"/>
      <c r="F169" s="65"/>
      <c r="G169" s="68"/>
      <c r="H169" s="65">
        <f t="shared" si="52"/>
        <v>0</v>
      </c>
      <c r="I169" s="78">
        <f t="shared" si="53"/>
        <v>0</v>
      </c>
      <c r="J169" s="65">
        <f t="shared" si="54"/>
        <v>0</v>
      </c>
      <c r="K169" s="77">
        <v>100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  <c r="HI169" s="33"/>
      <c r="HJ169" s="33"/>
      <c r="HK169" s="33"/>
      <c r="HL169" s="33"/>
      <c r="HM169" s="33"/>
      <c r="HN169" s="33"/>
      <c r="HO169" s="33"/>
      <c r="HP169" s="33"/>
      <c r="HQ169" s="33"/>
      <c r="HR169" s="33"/>
      <c r="HS169" s="33"/>
      <c r="HT169" s="33"/>
      <c r="HU169" s="33"/>
      <c r="HV169" s="33"/>
      <c r="HW169" s="33"/>
      <c r="HX169" s="33"/>
      <c r="HY169" s="33"/>
      <c r="HZ169" s="33"/>
      <c r="IA169" s="33"/>
      <c r="IB169" s="33"/>
      <c r="IC169" s="33"/>
      <c r="ID169" s="33"/>
      <c r="IE169" s="33"/>
      <c r="IF169" s="33"/>
      <c r="IG169" s="33"/>
      <c r="IH169" s="33"/>
      <c r="II169" s="33"/>
      <c r="IJ169" s="33"/>
      <c r="IK169" s="33"/>
      <c r="IL169" s="33"/>
      <c r="IM169" s="33"/>
    </row>
    <row r="170" spans="1:247" s="35" customFormat="1" ht="17.25" customHeight="1">
      <c r="A170" s="66" t="str">
        <f t="shared" ca="1" si="55"/>
        <v>3.1.3</v>
      </c>
      <c r="B170" s="110" t="s">
        <v>104</v>
      </c>
      <c r="C170" s="98"/>
      <c r="D170" s="64"/>
      <c r="E170" s="64"/>
      <c r="F170" s="65"/>
      <c r="G170" s="68"/>
      <c r="H170" s="65">
        <f t="shared" si="52"/>
        <v>0</v>
      </c>
      <c r="I170" s="78">
        <f t="shared" si="53"/>
        <v>0</v>
      </c>
      <c r="J170" s="65">
        <f t="shared" si="54"/>
        <v>0</v>
      </c>
      <c r="K170" s="77">
        <v>100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  <c r="HI170" s="33"/>
      <c r="HJ170" s="33"/>
      <c r="HK170" s="33"/>
      <c r="HL170" s="33"/>
      <c r="HM170" s="33"/>
      <c r="HN170" s="33"/>
      <c r="HO170" s="33"/>
      <c r="HP170" s="33"/>
      <c r="HQ170" s="33"/>
      <c r="HR170" s="33"/>
      <c r="HS170" s="33"/>
      <c r="HT170" s="33"/>
      <c r="HU170" s="33"/>
      <c r="HV170" s="33"/>
      <c r="HW170" s="33"/>
      <c r="HX170" s="33"/>
      <c r="HY170" s="33"/>
      <c r="HZ170" s="33"/>
      <c r="IA170" s="33"/>
      <c r="IB170" s="33"/>
      <c r="IC170" s="33"/>
      <c r="ID170" s="33"/>
      <c r="IE170" s="33"/>
      <c r="IF170" s="33"/>
      <c r="IG170" s="33"/>
      <c r="IH170" s="33"/>
      <c r="II170" s="33"/>
      <c r="IJ170" s="33"/>
      <c r="IK170" s="33"/>
      <c r="IL170" s="33"/>
      <c r="IM170" s="33"/>
    </row>
    <row r="171" spans="1:247" ht="17.25" customHeight="1">
      <c r="A171" s="66" t="str">
        <f t="shared" ca="1" si="55"/>
        <v>3.1.4</v>
      </c>
      <c r="B171" s="110" t="s">
        <v>106</v>
      </c>
      <c r="C171" s="98"/>
      <c r="D171" s="64"/>
      <c r="E171" s="64"/>
      <c r="F171" s="65"/>
      <c r="G171" s="68"/>
      <c r="H171" s="65">
        <f t="shared" si="52"/>
        <v>0</v>
      </c>
      <c r="I171" s="78">
        <f t="shared" si="53"/>
        <v>0</v>
      </c>
      <c r="J171" s="65">
        <f t="shared" si="54"/>
        <v>0</v>
      </c>
      <c r="K171" s="77">
        <v>100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  <c r="HI171" s="33"/>
      <c r="HJ171" s="33"/>
      <c r="HK171" s="33"/>
      <c r="HL171" s="33"/>
      <c r="HM171" s="33"/>
      <c r="HN171" s="33"/>
      <c r="HO171" s="33"/>
      <c r="HP171" s="33"/>
      <c r="HQ171" s="33"/>
      <c r="HR171" s="33"/>
      <c r="HS171" s="33"/>
      <c r="HT171" s="33"/>
      <c r="HU171" s="33"/>
      <c r="HV171" s="33"/>
      <c r="HW171" s="33"/>
      <c r="HX171" s="33"/>
      <c r="HY171" s="33"/>
      <c r="HZ171" s="33"/>
      <c r="IA171" s="33"/>
      <c r="IB171" s="33"/>
      <c r="IC171" s="33"/>
      <c r="ID171" s="33"/>
      <c r="IE171" s="33"/>
      <c r="IF171" s="33"/>
      <c r="IG171" s="33"/>
      <c r="IH171" s="33"/>
      <c r="II171" s="33"/>
      <c r="IJ171" s="33"/>
      <c r="IK171" s="33"/>
      <c r="IL171" s="33"/>
      <c r="IM171" s="33"/>
    </row>
    <row r="172" spans="1:247" ht="17.25" customHeight="1">
      <c r="A172" s="63" t="str">
        <f ca="1">IF(ISERROR(VALUE(SUBSTITUTE(OFFSET(A172,-1,0,1,1),".",""))),"0.1",IF(ISERROR(FIND("`",SUBSTITUTE(OFFSET(A172,-1,0,1,1),".","`",1))),OFFSET(A172,-1,0,1,1)&amp;".1",LEFT(OFFSET(A172,-1,0,1,1),FIND("`",SUBSTITUTE(OFFSET(A172,-1,0,1,1),".","`",1)))&amp;IF(ISERROR(FIND("`",SUBSTITUTE(OFFSET(A172,-1,0,1,1),".","`",2))),VALUE(RIGHT(OFFSET(A172,-1,0,1,1),LEN(OFFSET(A172,-1,0,1,1))-FIND("`",SUBSTITUTE(OFFSET(A172,-1,0,1,1),".","`",1))))+1,VALUE(MID(OFFSET(A172,-1,0,1,1),FIND("`",SUBSTITUTE(OFFSET(A172,-1,0,1,1),".","`",1))+1,(FIND("`",SUBSTITUTE(OFFSET(A172,-1,0,1,1),".","`",2))-FIND("`",SUBSTITUTE(OFFSET(A172,-1,0,1,1),".","`",1))-1)))+1)))</f>
        <v>3.2</v>
      </c>
      <c r="B172" s="107" t="s">
        <v>105</v>
      </c>
      <c r="C172" s="98"/>
      <c r="D172" s="64"/>
      <c r="E172" s="64"/>
      <c r="F172" s="65"/>
      <c r="G172" s="68"/>
      <c r="H172" s="65">
        <f t="shared" si="52"/>
        <v>0</v>
      </c>
      <c r="I172" s="78">
        <f t="shared" si="53"/>
        <v>0</v>
      </c>
      <c r="J172" s="65">
        <f t="shared" si="54"/>
        <v>0</v>
      </c>
      <c r="K172" s="77">
        <v>100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  <c r="HI172" s="33"/>
      <c r="HJ172" s="33"/>
      <c r="HK172" s="33"/>
      <c r="HL172" s="33"/>
      <c r="HM172" s="33"/>
      <c r="HN172" s="33"/>
      <c r="HO172" s="33"/>
      <c r="HP172" s="33"/>
      <c r="HQ172" s="33"/>
      <c r="HR172" s="33"/>
      <c r="HS172" s="33"/>
      <c r="HT172" s="33"/>
      <c r="HU172" s="33"/>
      <c r="HV172" s="33"/>
      <c r="HW172" s="33"/>
      <c r="HX172" s="33"/>
      <c r="HY172" s="33"/>
      <c r="HZ172" s="33"/>
      <c r="IA172" s="33"/>
      <c r="IB172" s="33"/>
      <c r="IC172" s="33"/>
      <c r="ID172" s="33"/>
      <c r="IE172" s="33"/>
      <c r="IF172" s="33"/>
      <c r="IG172" s="33"/>
      <c r="IH172" s="33"/>
      <c r="II172" s="33"/>
      <c r="IJ172" s="33"/>
      <c r="IK172" s="33"/>
      <c r="IL172" s="33"/>
      <c r="IM172" s="33"/>
    </row>
    <row r="173" spans="1:247" ht="17.25" customHeight="1">
      <c r="A173" s="66" t="str">
        <f t="shared" ca="1" si="55"/>
        <v>3.2.1</v>
      </c>
      <c r="B173" s="110" t="s">
        <v>107</v>
      </c>
      <c r="C173" s="98"/>
      <c r="D173" s="64"/>
      <c r="E173" s="64"/>
      <c r="F173" s="65"/>
      <c r="G173" s="68"/>
      <c r="H173" s="65">
        <f t="shared" si="52"/>
        <v>0</v>
      </c>
      <c r="I173" s="78">
        <f t="shared" si="53"/>
        <v>0</v>
      </c>
      <c r="J173" s="65">
        <f t="shared" si="54"/>
        <v>0</v>
      </c>
      <c r="K173" s="77">
        <v>100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  <c r="HI173" s="33"/>
      <c r="HJ173" s="33"/>
      <c r="HK173" s="33"/>
      <c r="HL173" s="33"/>
      <c r="HM173" s="33"/>
      <c r="HN173" s="33"/>
      <c r="HO173" s="33"/>
      <c r="HP173" s="33"/>
      <c r="HQ173" s="33"/>
      <c r="HR173" s="33"/>
      <c r="HS173" s="33"/>
      <c r="HT173" s="33"/>
      <c r="HU173" s="33"/>
      <c r="HV173" s="33"/>
      <c r="HW173" s="33"/>
      <c r="HX173" s="33"/>
      <c r="HY173" s="33"/>
      <c r="HZ173" s="33"/>
      <c r="IA173" s="33"/>
      <c r="IB173" s="33"/>
      <c r="IC173" s="33"/>
      <c r="ID173" s="33"/>
      <c r="IE173" s="33"/>
      <c r="IF173" s="33"/>
      <c r="IG173" s="33"/>
      <c r="IH173" s="33"/>
      <c r="II173" s="33"/>
      <c r="IJ173" s="33"/>
      <c r="IK173" s="33"/>
      <c r="IL173" s="33"/>
      <c r="IM173" s="33"/>
    </row>
    <row r="174" spans="1:247" ht="17.25" customHeight="1">
      <c r="A174" s="66" t="str">
        <f t="shared" ca="1" si="55"/>
        <v>3.2.2</v>
      </c>
      <c r="B174" s="110" t="s">
        <v>108</v>
      </c>
      <c r="C174" s="98"/>
      <c r="D174" s="64"/>
      <c r="E174" s="64"/>
      <c r="F174" s="65"/>
      <c r="G174" s="68"/>
      <c r="H174" s="65">
        <f t="shared" si="52"/>
        <v>0</v>
      </c>
      <c r="I174" s="78">
        <f t="shared" si="53"/>
        <v>0</v>
      </c>
      <c r="J174" s="65">
        <f t="shared" si="54"/>
        <v>0</v>
      </c>
      <c r="K174" s="77">
        <v>100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  <c r="HI174" s="33"/>
      <c r="HJ174" s="33"/>
      <c r="HK174" s="33"/>
      <c r="HL174" s="33"/>
      <c r="HM174" s="33"/>
      <c r="HN174" s="33"/>
      <c r="HO174" s="33"/>
      <c r="HP174" s="33"/>
      <c r="HQ174" s="33"/>
      <c r="HR174" s="33"/>
      <c r="HS174" s="33"/>
      <c r="HT174" s="33"/>
      <c r="HU174" s="33"/>
      <c r="HV174" s="33"/>
      <c r="HW174" s="33"/>
      <c r="HX174" s="33"/>
      <c r="HY174" s="33"/>
      <c r="HZ174" s="33"/>
      <c r="IA174" s="33"/>
      <c r="IB174" s="33"/>
      <c r="IC174" s="33"/>
      <c r="ID174" s="33"/>
      <c r="IE174" s="33"/>
      <c r="IF174" s="33"/>
      <c r="IG174" s="33"/>
      <c r="IH174" s="33"/>
      <c r="II174" s="33"/>
      <c r="IJ174" s="33"/>
      <c r="IK174" s="33"/>
      <c r="IL174" s="33"/>
      <c r="IM174" s="33"/>
    </row>
    <row r="175" spans="1:247" ht="17.25" customHeight="1">
      <c r="A175" s="66" t="str">
        <f t="shared" ca="1" si="55"/>
        <v>3.2.3</v>
      </c>
      <c r="B175" s="110" t="s">
        <v>109</v>
      </c>
      <c r="C175" s="98"/>
      <c r="D175" s="64"/>
      <c r="E175" s="64"/>
      <c r="F175" s="65"/>
      <c r="G175" s="68"/>
      <c r="H175" s="65">
        <f t="shared" si="52"/>
        <v>0</v>
      </c>
      <c r="I175" s="78">
        <f t="shared" si="53"/>
        <v>0</v>
      </c>
      <c r="J175" s="65">
        <f t="shared" si="54"/>
        <v>0</v>
      </c>
      <c r="K175" s="77">
        <v>100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  <c r="HI175" s="33"/>
      <c r="HJ175" s="33"/>
      <c r="HK175" s="33"/>
      <c r="HL175" s="33"/>
      <c r="HM175" s="33"/>
      <c r="HN175" s="33"/>
      <c r="HO175" s="33"/>
      <c r="HP175" s="33"/>
      <c r="HQ175" s="33"/>
      <c r="HR175" s="33"/>
      <c r="HS175" s="33"/>
      <c r="HT175" s="33"/>
      <c r="HU175" s="33"/>
      <c r="HV175" s="33"/>
      <c r="HW175" s="33"/>
      <c r="HX175" s="33"/>
      <c r="HY175" s="33"/>
      <c r="HZ175" s="33"/>
      <c r="IA175" s="33"/>
      <c r="IB175" s="33"/>
      <c r="IC175" s="33"/>
      <c r="ID175" s="33"/>
      <c r="IE175" s="33"/>
      <c r="IF175" s="33"/>
      <c r="IG175" s="33"/>
      <c r="IH175" s="33"/>
      <c r="II175" s="33"/>
      <c r="IJ175" s="33"/>
      <c r="IK175" s="33"/>
      <c r="IL175" s="33"/>
      <c r="IM175" s="33"/>
    </row>
    <row r="176" spans="1:247" ht="17.25" customHeight="1">
      <c r="A176" s="66" t="str">
        <f t="shared" ca="1" si="55"/>
        <v>3.2.4</v>
      </c>
      <c r="B176" s="110" t="s">
        <v>110</v>
      </c>
      <c r="C176" s="98"/>
      <c r="D176" s="64"/>
      <c r="E176" s="64"/>
      <c r="F176" s="65"/>
      <c r="G176" s="68"/>
      <c r="H176" s="65">
        <f t="shared" si="52"/>
        <v>0</v>
      </c>
      <c r="I176" s="78">
        <f t="shared" si="53"/>
        <v>0</v>
      </c>
      <c r="J176" s="65">
        <f t="shared" si="54"/>
        <v>0</v>
      </c>
      <c r="K176" s="77">
        <v>100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  <c r="HI176" s="33"/>
      <c r="HJ176" s="33"/>
      <c r="HK176" s="33"/>
      <c r="HL176" s="33"/>
      <c r="HM176" s="33"/>
      <c r="HN176" s="33"/>
      <c r="HO176" s="33"/>
      <c r="HP176" s="33"/>
      <c r="HQ176" s="33"/>
      <c r="HR176" s="33"/>
      <c r="HS176" s="33"/>
      <c r="HT176" s="33"/>
      <c r="HU176" s="33"/>
      <c r="HV176" s="33"/>
      <c r="HW176" s="33"/>
      <c r="HX176" s="33"/>
      <c r="HY176" s="33"/>
      <c r="HZ176" s="33"/>
      <c r="IA176" s="33"/>
      <c r="IB176" s="33"/>
      <c r="IC176" s="33"/>
      <c r="ID176" s="33"/>
      <c r="IE176" s="33"/>
      <c r="IF176" s="33"/>
      <c r="IG176" s="33"/>
      <c r="IH176" s="33"/>
      <c r="II176" s="33"/>
      <c r="IJ176" s="33"/>
      <c r="IK176" s="33"/>
      <c r="IL176" s="33"/>
      <c r="IM176" s="33"/>
    </row>
    <row r="177" spans="1:247" ht="17.25" customHeight="1">
      <c r="A177" s="66" t="str">
        <f t="shared" ca="1" si="55"/>
        <v>3.2.5</v>
      </c>
      <c r="B177" s="110" t="s">
        <v>111</v>
      </c>
      <c r="C177" s="98"/>
      <c r="D177" s="64"/>
      <c r="E177" s="64"/>
      <c r="F177" s="65"/>
      <c r="G177" s="68"/>
      <c r="H177" s="65">
        <f t="shared" si="52"/>
        <v>0</v>
      </c>
      <c r="I177" s="78">
        <f t="shared" si="53"/>
        <v>0</v>
      </c>
      <c r="J177" s="65">
        <f t="shared" si="54"/>
        <v>0</v>
      </c>
      <c r="K177" s="77">
        <v>100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  <c r="HI177" s="33"/>
      <c r="HJ177" s="33"/>
      <c r="HK177" s="33"/>
      <c r="HL177" s="33"/>
      <c r="HM177" s="33"/>
      <c r="HN177" s="33"/>
      <c r="HO177" s="33"/>
      <c r="HP177" s="33"/>
      <c r="HQ177" s="33"/>
      <c r="HR177" s="33"/>
      <c r="HS177" s="33"/>
      <c r="HT177" s="33"/>
      <c r="HU177" s="33"/>
      <c r="HV177" s="33"/>
      <c r="HW177" s="33"/>
      <c r="HX177" s="33"/>
      <c r="HY177" s="33"/>
      <c r="HZ177" s="33"/>
      <c r="IA177" s="33"/>
      <c r="IB177" s="33"/>
      <c r="IC177" s="33"/>
      <c r="ID177" s="33"/>
      <c r="IE177" s="33"/>
      <c r="IF177" s="33"/>
      <c r="IG177" s="33"/>
      <c r="IH177" s="33"/>
      <c r="II177" s="33"/>
      <c r="IJ177" s="33"/>
      <c r="IK177" s="33"/>
      <c r="IL177" s="33"/>
      <c r="IM177" s="33"/>
    </row>
    <row r="178" spans="1:247" ht="17.25" customHeight="1">
      <c r="A178" s="66" t="str">
        <f t="shared" ca="1" si="55"/>
        <v>3.2.6</v>
      </c>
      <c r="B178" s="110" t="s">
        <v>112</v>
      </c>
      <c r="C178" s="98"/>
      <c r="D178" s="64"/>
      <c r="E178" s="64"/>
      <c r="F178" s="65"/>
      <c r="G178" s="68"/>
      <c r="H178" s="65">
        <f t="shared" si="52"/>
        <v>0</v>
      </c>
      <c r="I178" s="78">
        <f t="shared" si="53"/>
        <v>0</v>
      </c>
      <c r="J178" s="65">
        <f t="shared" si="54"/>
        <v>0</v>
      </c>
      <c r="K178" s="77">
        <v>100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  <c r="HI178" s="33"/>
      <c r="HJ178" s="33"/>
      <c r="HK178" s="33"/>
      <c r="HL178" s="33"/>
      <c r="HM178" s="33"/>
      <c r="HN178" s="33"/>
      <c r="HO178" s="33"/>
      <c r="HP178" s="33"/>
      <c r="HQ178" s="33"/>
      <c r="HR178" s="33"/>
      <c r="HS178" s="33"/>
      <c r="HT178" s="33"/>
      <c r="HU178" s="33"/>
      <c r="HV178" s="33"/>
      <c r="HW178" s="33"/>
      <c r="HX178" s="33"/>
      <c r="HY178" s="33"/>
      <c r="HZ178" s="33"/>
      <c r="IA178" s="33"/>
      <c r="IB178" s="33"/>
      <c r="IC178" s="33"/>
      <c r="ID178" s="33"/>
      <c r="IE178" s="33"/>
      <c r="IF178" s="33"/>
      <c r="IG178" s="33"/>
      <c r="IH178" s="33"/>
      <c r="II178" s="33"/>
      <c r="IJ178" s="33"/>
      <c r="IK178" s="33"/>
      <c r="IL178" s="33"/>
      <c r="IM178" s="33"/>
    </row>
    <row r="179" spans="1:247" ht="17.25" customHeight="1">
      <c r="A179" s="66" t="str">
        <f t="shared" ca="1" si="55"/>
        <v>3.2.7</v>
      </c>
      <c r="B179" s="110" t="s">
        <v>113</v>
      </c>
      <c r="C179" s="98"/>
      <c r="D179" s="64"/>
      <c r="E179" s="64"/>
      <c r="F179" s="65"/>
      <c r="G179" s="68"/>
      <c r="H179" s="65">
        <f t="shared" si="52"/>
        <v>0</v>
      </c>
      <c r="I179" s="78">
        <f t="shared" si="53"/>
        <v>0</v>
      </c>
      <c r="J179" s="65">
        <f t="shared" si="54"/>
        <v>0</v>
      </c>
      <c r="K179" s="77">
        <v>100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  <c r="HI179" s="33"/>
      <c r="HJ179" s="33"/>
      <c r="HK179" s="33"/>
      <c r="HL179" s="33"/>
      <c r="HM179" s="33"/>
      <c r="HN179" s="33"/>
      <c r="HO179" s="33"/>
      <c r="HP179" s="33"/>
      <c r="HQ179" s="33"/>
      <c r="HR179" s="33"/>
      <c r="HS179" s="33"/>
      <c r="HT179" s="33"/>
      <c r="HU179" s="33"/>
      <c r="HV179" s="33"/>
      <c r="HW179" s="33"/>
      <c r="HX179" s="33"/>
      <c r="HY179" s="33"/>
      <c r="HZ179" s="33"/>
      <c r="IA179" s="33"/>
      <c r="IB179" s="33"/>
      <c r="IC179" s="33"/>
      <c r="ID179" s="33"/>
      <c r="IE179" s="33"/>
      <c r="IF179" s="33"/>
      <c r="IG179" s="33"/>
      <c r="IH179" s="33"/>
      <c r="II179" s="33"/>
      <c r="IJ179" s="33"/>
      <c r="IK179" s="33"/>
      <c r="IL179" s="33"/>
      <c r="IM179" s="33"/>
    </row>
    <row r="180" spans="1:247" ht="17.25" customHeight="1">
      <c r="A180" s="63" t="str">
        <f ca="1">IF(ISERROR(VALUE(SUBSTITUTE(OFFSET(A180,-1,0,1,1),".",""))),"0.1",IF(ISERROR(FIND("`",SUBSTITUTE(OFFSET(A180,-1,0,1,1),".","`",1))),OFFSET(A180,-1,0,1,1)&amp;".1",LEFT(OFFSET(A180,-1,0,1,1),FIND("`",SUBSTITUTE(OFFSET(A180,-1,0,1,1),".","`",1)))&amp;IF(ISERROR(FIND("`",SUBSTITUTE(OFFSET(A180,-1,0,1,1),".","`",2))),VALUE(RIGHT(OFFSET(A180,-1,0,1,1),LEN(OFFSET(A180,-1,0,1,1))-FIND("`",SUBSTITUTE(OFFSET(A180,-1,0,1,1),".","`",1))))+1,VALUE(MID(OFFSET(A180,-1,0,1,1),FIND("`",SUBSTITUTE(OFFSET(A180,-1,0,1,1),".","`",1))+1,(FIND("`",SUBSTITUTE(OFFSET(A180,-1,0,1,1),".","`",2))-FIND("`",SUBSTITUTE(OFFSET(A180,-1,0,1,1),".","`",1))-1)))+1)))</f>
        <v>3.3</v>
      </c>
      <c r="B180" s="108" t="s">
        <v>114</v>
      </c>
      <c r="C180" s="98"/>
      <c r="D180" s="64"/>
      <c r="E180" s="64"/>
      <c r="F180" s="65"/>
      <c r="G180" s="68"/>
      <c r="H180" s="65">
        <f t="shared" si="52"/>
        <v>0</v>
      </c>
      <c r="I180" s="78">
        <f t="shared" si="53"/>
        <v>0</v>
      </c>
      <c r="J180" s="65">
        <f t="shared" si="54"/>
        <v>0</v>
      </c>
      <c r="K180" s="77">
        <v>100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  <c r="HI180" s="33"/>
      <c r="HJ180" s="33"/>
      <c r="HK180" s="33"/>
      <c r="HL180" s="33"/>
      <c r="HM180" s="33"/>
      <c r="HN180" s="33"/>
      <c r="HO180" s="33"/>
      <c r="HP180" s="33"/>
      <c r="HQ180" s="33"/>
      <c r="HR180" s="33"/>
      <c r="HS180" s="33"/>
      <c r="HT180" s="33"/>
      <c r="HU180" s="33"/>
      <c r="HV180" s="33"/>
      <c r="HW180" s="33"/>
      <c r="HX180" s="33"/>
      <c r="HY180" s="33"/>
      <c r="HZ180" s="33"/>
      <c r="IA180" s="33"/>
      <c r="IB180" s="33"/>
      <c r="IC180" s="33"/>
      <c r="ID180" s="33"/>
      <c r="IE180" s="33"/>
      <c r="IF180" s="33"/>
      <c r="IG180" s="33"/>
      <c r="IH180" s="33"/>
      <c r="II180" s="33"/>
      <c r="IJ180" s="33"/>
      <c r="IK180" s="33"/>
      <c r="IL180" s="33"/>
      <c r="IM180" s="33"/>
    </row>
    <row r="181" spans="1:247" ht="17.25" customHeight="1">
      <c r="A181" s="66" t="str">
        <f t="shared" ca="1" si="55"/>
        <v>3.3.1</v>
      </c>
      <c r="B181" s="110" t="s">
        <v>115</v>
      </c>
      <c r="C181" s="98"/>
      <c r="D181" s="64"/>
      <c r="E181" s="64"/>
      <c r="F181" s="65"/>
      <c r="G181" s="68"/>
      <c r="H181" s="65">
        <f t="shared" si="52"/>
        <v>0</v>
      </c>
      <c r="I181" s="78">
        <f t="shared" si="53"/>
        <v>0</v>
      </c>
      <c r="J181" s="65">
        <f t="shared" si="54"/>
        <v>0</v>
      </c>
      <c r="K181" s="77">
        <v>100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/>
      <c r="HQ181" s="33"/>
      <c r="HR181" s="33"/>
      <c r="HS181" s="33"/>
      <c r="HT181" s="33"/>
      <c r="HU181" s="33"/>
      <c r="HV181" s="33"/>
      <c r="HW181" s="33"/>
      <c r="HX181" s="33"/>
      <c r="HY181" s="33"/>
      <c r="HZ181" s="33"/>
      <c r="IA181" s="33"/>
      <c r="IB181" s="33"/>
      <c r="IC181" s="33"/>
      <c r="ID181" s="33"/>
      <c r="IE181" s="33"/>
      <c r="IF181" s="33"/>
      <c r="IG181" s="33"/>
      <c r="IH181" s="33"/>
      <c r="II181" s="33"/>
      <c r="IJ181" s="33"/>
      <c r="IK181" s="33"/>
      <c r="IL181" s="33"/>
      <c r="IM181" s="33"/>
    </row>
    <row r="182" spans="1:247" ht="17.25" customHeight="1">
      <c r="A182" s="66" t="str">
        <f t="shared" ca="1" si="55"/>
        <v>3.3.2</v>
      </c>
      <c r="B182" s="110" t="s">
        <v>116</v>
      </c>
      <c r="C182" s="98"/>
      <c r="D182" s="64"/>
      <c r="E182" s="64"/>
      <c r="F182" s="65"/>
      <c r="G182" s="68"/>
      <c r="H182" s="65">
        <f t="shared" si="52"/>
        <v>0</v>
      </c>
      <c r="I182" s="78">
        <f t="shared" si="53"/>
        <v>0</v>
      </c>
      <c r="J182" s="65">
        <f t="shared" si="54"/>
        <v>0</v>
      </c>
      <c r="K182" s="77">
        <v>100</v>
      </c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  <c r="HI182" s="33"/>
      <c r="HJ182" s="33"/>
      <c r="HK182" s="33"/>
      <c r="HL182" s="33"/>
      <c r="HM182" s="33"/>
      <c r="HN182" s="33"/>
      <c r="HO182" s="33"/>
      <c r="HP182" s="33"/>
      <c r="HQ182" s="33"/>
      <c r="HR182" s="33"/>
      <c r="HS182" s="33"/>
      <c r="HT182" s="33"/>
      <c r="HU182" s="33"/>
      <c r="HV182" s="33"/>
      <c r="HW182" s="33"/>
      <c r="HX182" s="33"/>
      <c r="HY182" s="33"/>
      <c r="HZ182" s="33"/>
      <c r="IA182" s="33"/>
      <c r="IB182" s="33"/>
      <c r="IC182" s="33"/>
      <c r="ID182" s="33"/>
      <c r="IE182" s="33"/>
      <c r="IF182" s="33"/>
      <c r="IG182" s="33"/>
      <c r="IH182" s="33"/>
      <c r="II182" s="33"/>
      <c r="IJ182" s="33"/>
      <c r="IK182" s="33"/>
      <c r="IL182" s="33"/>
      <c r="IM182" s="33"/>
    </row>
    <row r="183" spans="1:247" ht="17.25" customHeight="1">
      <c r="A183" s="66" t="str">
        <f t="shared" ca="1" si="55"/>
        <v>3.3.3</v>
      </c>
      <c r="B183" s="110" t="s">
        <v>117</v>
      </c>
      <c r="C183" s="98"/>
      <c r="D183" s="64"/>
      <c r="E183" s="64"/>
      <c r="F183" s="65"/>
      <c r="G183" s="68"/>
      <c r="H183" s="65">
        <f t="shared" si="52"/>
        <v>0</v>
      </c>
      <c r="I183" s="78">
        <f t="shared" si="53"/>
        <v>0</v>
      </c>
      <c r="J183" s="65">
        <f t="shared" si="54"/>
        <v>0</v>
      </c>
      <c r="K183" s="77">
        <v>100</v>
      </c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  <c r="HI183" s="33"/>
      <c r="HJ183" s="33"/>
      <c r="HK183" s="33"/>
      <c r="HL183" s="33"/>
      <c r="HM183" s="33"/>
      <c r="HN183" s="33"/>
      <c r="HO183" s="33"/>
      <c r="HP183" s="33"/>
      <c r="HQ183" s="33"/>
      <c r="HR183" s="33"/>
      <c r="HS183" s="33"/>
      <c r="HT183" s="33"/>
      <c r="HU183" s="33"/>
      <c r="HV183" s="33"/>
      <c r="HW183" s="33"/>
      <c r="HX183" s="33"/>
      <c r="HY183" s="33"/>
      <c r="HZ183" s="33"/>
      <c r="IA183" s="33"/>
      <c r="IB183" s="33"/>
      <c r="IC183" s="33"/>
      <c r="ID183" s="33"/>
      <c r="IE183" s="33"/>
      <c r="IF183" s="33"/>
      <c r="IG183" s="33"/>
      <c r="IH183" s="33"/>
      <c r="II183" s="33"/>
      <c r="IJ183" s="33"/>
      <c r="IK183" s="33"/>
      <c r="IL183" s="33"/>
      <c r="IM183" s="33"/>
    </row>
    <row r="184" spans="1:247" ht="17.25" customHeight="1">
      <c r="A184" s="66" t="str">
        <f t="shared" ca="1" si="55"/>
        <v>3.3.4</v>
      </c>
      <c r="B184" s="110" t="s">
        <v>118</v>
      </c>
      <c r="C184" s="98"/>
      <c r="D184" s="64"/>
      <c r="E184" s="64"/>
      <c r="F184" s="65"/>
      <c r="G184" s="68"/>
      <c r="H184" s="65">
        <f t="shared" si="52"/>
        <v>0</v>
      </c>
      <c r="I184" s="78">
        <f t="shared" si="53"/>
        <v>0</v>
      </c>
      <c r="J184" s="65">
        <f t="shared" si="54"/>
        <v>0</v>
      </c>
      <c r="K184" s="77">
        <v>100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  <c r="HI184" s="33"/>
      <c r="HJ184" s="33"/>
      <c r="HK184" s="33"/>
      <c r="HL184" s="33"/>
      <c r="HM184" s="33"/>
      <c r="HN184" s="33"/>
      <c r="HO184" s="33"/>
      <c r="HP184" s="33"/>
      <c r="HQ184" s="33"/>
      <c r="HR184" s="33"/>
      <c r="HS184" s="33"/>
      <c r="HT184" s="33"/>
      <c r="HU184" s="33"/>
      <c r="HV184" s="33"/>
      <c r="HW184" s="33"/>
      <c r="HX184" s="33"/>
      <c r="HY184" s="33"/>
      <c r="HZ184" s="33"/>
      <c r="IA184" s="33"/>
      <c r="IB184" s="33"/>
      <c r="IC184" s="33"/>
      <c r="ID184" s="33"/>
      <c r="IE184" s="33"/>
      <c r="IF184" s="33"/>
      <c r="IG184" s="33"/>
      <c r="IH184" s="33"/>
      <c r="II184" s="33"/>
      <c r="IJ184" s="33"/>
      <c r="IK184" s="33"/>
      <c r="IL184" s="33"/>
      <c r="IM184" s="33"/>
    </row>
    <row r="185" spans="1:247" ht="17.25" customHeight="1">
      <c r="A185" s="66" t="str">
        <f t="shared" ca="1" si="55"/>
        <v>3.3.5</v>
      </c>
      <c r="B185" s="110" t="s">
        <v>119</v>
      </c>
      <c r="C185" s="98"/>
      <c r="D185" s="64"/>
      <c r="E185" s="64"/>
      <c r="F185" s="65"/>
      <c r="G185" s="68"/>
      <c r="H185" s="65">
        <f t="shared" si="52"/>
        <v>0</v>
      </c>
      <c r="I185" s="78">
        <f t="shared" si="53"/>
        <v>0</v>
      </c>
      <c r="J185" s="65">
        <f t="shared" si="54"/>
        <v>0</v>
      </c>
      <c r="K185" s="77">
        <v>100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  <c r="HI185" s="33"/>
      <c r="HJ185" s="33"/>
      <c r="HK185" s="33"/>
      <c r="HL185" s="33"/>
      <c r="HM185" s="33"/>
      <c r="HN185" s="33"/>
      <c r="HO185" s="33"/>
      <c r="HP185" s="33"/>
      <c r="HQ185" s="33"/>
      <c r="HR185" s="33"/>
      <c r="HS185" s="33"/>
      <c r="HT185" s="33"/>
      <c r="HU185" s="33"/>
      <c r="HV185" s="33"/>
      <c r="HW185" s="33"/>
      <c r="HX185" s="33"/>
      <c r="HY185" s="33"/>
      <c r="HZ185" s="33"/>
      <c r="IA185" s="33"/>
      <c r="IB185" s="33"/>
      <c r="IC185" s="33"/>
      <c r="ID185" s="33"/>
      <c r="IE185" s="33"/>
      <c r="IF185" s="33"/>
      <c r="IG185" s="33"/>
      <c r="IH185" s="33"/>
      <c r="II185" s="33"/>
      <c r="IJ185" s="33"/>
      <c r="IK185" s="33"/>
      <c r="IL185" s="33"/>
      <c r="IM185" s="33"/>
    </row>
    <row r="186" spans="1:247" ht="17.25" customHeight="1">
      <c r="A186" s="66" t="str">
        <f t="shared" ca="1" si="55"/>
        <v>3.3.6</v>
      </c>
      <c r="B186" s="110" t="s">
        <v>110</v>
      </c>
      <c r="C186" s="98"/>
      <c r="D186" s="64"/>
      <c r="E186" s="64"/>
      <c r="F186" s="65"/>
      <c r="G186" s="68"/>
      <c r="H186" s="65">
        <f t="shared" si="52"/>
        <v>0</v>
      </c>
      <c r="I186" s="78">
        <f t="shared" si="53"/>
        <v>0</v>
      </c>
      <c r="J186" s="65">
        <f t="shared" si="54"/>
        <v>0</v>
      </c>
      <c r="K186" s="77">
        <v>100</v>
      </c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  <c r="HI186" s="33"/>
      <c r="HJ186" s="33"/>
      <c r="HK186" s="33"/>
      <c r="HL186" s="33"/>
      <c r="HM186" s="33"/>
      <c r="HN186" s="33"/>
      <c r="HO186" s="33"/>
      <c r="HP186" s="33"/>
      <c r="HQ186" s="33"/>
      <c r="HR186" s="33"/>
      <c r="HS186" s="33"/>
      <c r="HT186" s="33"/>
      <c r="HU186" s="33"/>
      <c r="HV186" s="33"/>
      <c r="HW186" s="33"/>
      <c r="HX186" s="33"/>
      <c r="HY186" s="33"/>
      <c r="HZ186" s="33"/>
      <c r="IA186" s="33"/>
      <c r="IB186" s="33"/>
      <c r="IC186" s="33"/>
      <c r="ID186" s="33"/>
      <c r="IE186" s="33"/>
      <c r="IF186" s="33"/>
      <c r="IG186" s="33"/>
      <c r="IH186" s="33"/>
      <c r="II186" s="33"/>
      <c r="IJ186" s="33"/>
      <c r="IK186" s="33"/>
      <c r="IL186" s="33"/>
      <c r="IM186" s="33"/>
    </row>
    <row r="187" spans="1:247" ht="17.25" customHeight="1">
      <c r="A187" s="66" t="str">
        <f t="shared" ca="1" si="55"/>
        <v>3.3.7</v>
      </c>
      <c r="B187" s="110" t="s">
        <v>120</v>
      </c>
      <c r="C187" s="98"/>
      <c r="D187" s="64"/>
      <c r="E187" s="64"/>
      <c r="F187" s="65"/>
      <c r="G187" s="68"/>
      <c r="H187" s="65">
        <f t="shared" si="52"/>
        <v>0</v>
      </c>
      <c r="I187" s="78">
        <f t="shared" si="53"/>
        <v>0</v>
      </c>
      <c r="J187" s="65">
        <f t="shared" si="54"/>
        <v>0</v>
      </c>
      <c r="K187" s="77">
        <v>100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  <c r="HI187" s="33"/>
      <c r="HJ187" s="33"/>
      <c r="HK187" s="33"/>
      <c r="HL187" s="33"/>
      <c r="HM187" s="33"/>
      <c r="HN187" s="33"/>
      <c r="HO187" s="33"/>
      <c r="HP187" s="33"/>
      <c r="HQ187" s="33"/>
      <c r="HR187" s="33"/>
      <c r="HS187" s="33"/>
      <c r="HT187" s="33"/>
      <c r="HU187" s="33"/>
      <c r="HV187" s="33"/>
      <c r="HW187" s="33"/>
      <c r="HX187" s="33"/>
      <c r="HY187" s="33"/>
      <c r="HZ187" s="33"/>
      <c r="IA187" s="33"/>
      <c r="IB187" s="33"/>
      <c r="IC187" s="33"/>
      <c r="ID187" s="33"/>
      <c r="IE187" s="33"/>
      <c r="IF187" s="33"/>
      <c r="IG187" s="33"/>
      <c r="IH187" s="33"/>
      <c r="II187" s="33"/>
      <c r="IJ187" s="33"/>
      <c r="IK187" s="33"/>
      <c r="IL187" s="33"/>
      <c r="IM187" s="33"/>
    </row>
    <row r="188" spans="1:247" ht="17.25" customHeight="1">
      <c r="A188" s="63" t="str">
        <f ca="1">IF(ISERROR(VALUE(SUBSTITUTE(OFFSET(A188,-1,0,1,1),".",""))),"0.1",IF(ISERROR(FIND("`",SUBSTITUTE(OFFSET(A188,-1,0,1,1),".","`",1))),OFFSET(A188,-1,0,1,1)&amp;".1",LEFT(OFFSET(A188,-1,0,1,1),FIND("`",SUBSTITUTE(OFFSET(A188,-1,0,1,1),".","`",1)))&amp;IF(ISERROR(FIND("`",SUBSTITUTE(OFFSET(A188,-1,0,1,1),".","`",2))),VALUE(RIGHT(OFFSET(A188,-1,0,1,1),LEN(OFFSET(A188,-1,0,1,1))-FIND("`",SUBSTITUTE(OFFSET(A188,-1,0,1,1),".","`",1))))+1,VALUE(MID(OFFSET(A188,-1,0,1,1),FIND("`",SUBSTITUTE(OFFSET(A188,-1,0,1,1),".","`",1))+1,(FIND("`",SUBSTITUTE(OFFSET(A188,-1,0,1,1),".","`",2))-FIND("`",SUBSTITUTE(OFFSET(A188,-1,0,1,1),".","`",1))-1)))+1)))</f>
        <v>3.4</v>
      </c>
      <c r="B188" s="108" t="s">
        <v>121</v>
      </c>
      <c r="C188" s="98"/>
      <c r="D188" s="64"/>
      <c r="E188" s="64"/>
      <c r="F188" s="65"/>
      <c r="G188" s="68"/>
      <c r="H188" s="65">
        <f t="shared" si="52"/>
        <v>0</v>
      </c>
      <c r="I188" s="78">
        <f t="shared" si="53"/>
        <v>0</v>
      </c>
      <c r="J188" s="65">
        <f t="shared" si="54"/>
        <v>0</v>
      </c>
      <c r="K188" s="77">
        <v>100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  <c r="HI188" s="33"/>
      <c r="HJ188" s="33"/>
      <c r="HK188" s="33"/>
      <c r="HL188" s="33"/>
      <c r="HM188" s="33"/>
      <c r="HN188" s="33"/>
      <c r="HO188" s="33"/>
      <c r="HP188" s="33"/>
      <c r="HQ188" s="33"/>
      <c r="HR188" s="33"/>
      <c r="HS188" s="33"/>
      <c r="HT188" s="33"/>
      <c r="HU188" s="33"/>
      <c r="HV188" s="33"/>
      <c r="HW188" s="33"/>
      <c r="HX188" s="33"/>
      <c r="HY188" s="33"/>
      <c r="HZ188" s="33"/>
      <c r="IA188" s="33"/>
      <c r="IB188" s="33"/>
      <c r="IC188" s="33"/>
      <c r="ID188" s="33"/>
      <c r="IE188" s="33"/>
      <c r="IF188" s="33"/>
      <c r="IG188" s="33"/>
      <c r="IH188" s="33"/>
      <c r="II188" s="33"/>
      <c r="IJ188" s="33"/>
      <c r="IK188" s="33"/>
      <c r="IL188" s="33"/>
      <c r="IM188" s="33"/>
    </row>
    <row r="189" spans="1:247" ht="17.25" customHeight="1">
      <c r="A189" s="66" t="str">
        <f t="shared" ca="1" si="55"/>
        <v>3.4.1</v>
      </c>
      <c r="B189" s="110" t="s">
        <v>122</v>
      </c>
      <c r="C189" s="98"/>
      <c r="D189" s="64"/>
      <c r="E189" s="64"/>
      <c r="F189" s="65"/>
      <c r="G189" s="68"/>
      <c r="H189" s="65">
        <f t="shared" si="52"/>
        <v>0</v>
      </c>
      <c r="I189" s="78">
        <f t="shared" si="53"/>
        <v>0</v>
      </c>
      <c r="J189" s="65">
        <f t="shared" si="54"/>
        <v>0</v>
      </c>
      <c r="K189" s="77">
        <v>100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  <c r="HI189" s="33"/>
      <c r="HJ189" s="33"/>
      <c r="HK189" s="33"/>
      <c r="HL189" s="33"/>
      <c r="HM189" s="33"/>
      <c r="HN189" s="33"/>
      <c r="HO189" s="33"/>
      <c r="HP189" s="33"/>
      <c r="HQ189" s="33"/>
      <c r="HR189" s="33"/>
      <c r="HS189" s="33"/>
      <c r="HT189" s="33"/>
      <c r="HU189" s="33"/>
      <c r="HV189" s="33"/>
      <c r="HW189" s="33"/>
      <c r="HX189" s="33"/>
      <c r="HY189" s="33"/>
      <c r="HZ189" s="33"/>
      <c r="IA189" s="33"/>
      <c r="IB189" s="33"/>
      <c r="IC189" s="33"/>
      <c r="ID189" s="33"/>
      <c r="IE189" s="33"/>
      <c r="IF189" s="33"/>
      <c r="IG189" s="33"/>
      <c r="IH189" s="33"/>
      <c r="II189" s="33"/>
      <c r="IJ189" s="33"/>
      <c r="IK189" s="33"/>
      <c r="IL189" s="33"/>
      <c r="IM189" s="33"/>
    </row>
    <row r="190" spans="1:247" ht="17.25" customHeight="1">
      <c r="A190" s="66" t="str">
        <f t="shared" ca="1" si="55"/>
        <v>3.4.2</v>
      </c>
      <c r="B190" s="110" t="s">
        <v>123</v>
      </c>
      <c r="C190" s="98"/>
      <c r="D190" s="64"/>
      <c r="E190" s="64"/>
      <c r="F190" s="65"/>
      <c r="G190" s="68"/>
      <c r="H190" s="65">
        <f t="shared" si="52"/>
        <v>0</v>
      </c>
      <c r="I190" s="78">
        <f t="shared" si="53"/>
        <v>0</v>
      </c>
      <c r="J190" s="65">
        <f t="shared" si="54"/>
        <v>0</v>
      </c>
      <c r="K190" s="77">
        <v>100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  <c r="HI190" s="33"/>
      <c r="HJ190" s="33"/>
      <c r="HK190" s="33"/>
      <c r="HL190" s="33"/>
      <c r="HM190" s="33"/>
      <c r="HN190" s="33"/>
      <c r="HO190" s="33"/>
      <c r="HP190" s="33"/>
      <c r="HQ190" s="33"/>
      <c r="HR190" s="33"/>
      <c r="HS190" s="33"/>
      <c r="HT190" s="33"/>
      <c r="HU190" s="33"/>
      <c r="HV190" s="33"/>
      <c r="HW190" s="33"/>
      <c r="HX190" s="33"/>
      <c r="HY190" s="33"/>
      <c r="HZ190" s="33"/>
      <c r="IA190" s="33"/>
      <c r="IB190" s="33"/>
      <c r="IC190" s="33"/>
      <c r="ID190" s="33"/>
      <c r="IE190" s="33"/>
      <c r="IF190" s="33"/>
      <c r="IG190" s="33"/>
      <c r="IH190" s="33"/>
      <c r="II190" s="33"/>
      <c r="IJ190" s="33"/>
      <c r="IK190" s="33"/>
      <c r="IL190" s="33"/>
      <c r="IM190" s="33"/>
    </row>
    <row r="191" spans="1:247" ht="17.25" customHeight="1">
      <c r="A191" s="66" t="str">
        <f t="shared" ca="1" si="55"/>
        <v>3.4.3</v>
      </c>
      <c r="B191" s="110" t="s">
        <v>124</v>
      </c>
      <c r="C191" s="98"/>
      <c r="D191" s="64"/>
      <c r="E191" s="64"/>
      <c r="F191" s="65"/>
      <c r="G191" s="68"/>
      <c r="H191" s="65">
        <f t="shared" si="52"/>
        <v>0</v>
      </c>
      <c r="I191" s="78">
        <f t="shared" ref="I191:I222" si="56">ROUNDDOWN(G191*F191,0)</f>
        <v>0</v>
      </c>
      <c r="J191" s="65">
        <f t="shared" ref="J191:J222" si="57">F191-I191</f>
        <v>0</v>
      </c>
      <c r="K191" s="77">
        <v>100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  <c r="HI191" s="33"/>
      <c r="HJ191" s="33"/>
      <c r="HK191" s="33"/>
      <c r="HL191" s="33"/>
      <c r="HM191" s="33"/>
      <c r="HN191" s="33"/>
      <c r="HO191" s="33"/>
      <c r="HP191" s="33"/>
      <c r="HQ191" s="33"/>
      <c r="HR191" s="33"/>
      <c r="HS191" s="33"/>
      <c r="HT191" s="33"/>
      <c r="HU191" s="33"/>
      <c r="HV191" s="33"/>
      <c r="HW191" s="33"/>
      <c r="HX191" s="33"/>
      <c r="HY191" s="33"/>
      <c r="HZ191" s="33"/>
      <c r="IA191" s="33"/>
      <c r="IB191" s="33"/>
      <c r="IC191" s="33"/>
      <c r="ID191" s="33"/>
      <c r="IE191" s="33"/>
      <c r="IF191" s="33"/>
      <c r="IG191" s="33"/>
      <c r="IH191" s="33"/>
      <c r="II191" s="33"/>
      <c r="IJ191" s="33"/>
      <c r="IK191" s="33"/>
      <c r="IL191" s="33"/>
      <c r="IM191" s="33"/>
    </row>
    <row r="192" spans="1:247" ht="17.25" customHeight="1">
      <c r="A192" s="66" t="str">
        <f t="shared" ca="1" si="55"/>
        <v>3.4.4</v>
      </c>
      <c r="B192" s="110" t="s">
        <v>117</v>
      </c>
      <c r="C192" s="98"/>
      <c r="D192" s="64"/>
      <c r="E192" s="64"/>
      <c r="F192" s="65"/>
      <c r="G192" s="68"/>
      <c r="H192" s="65">
        <f t="shared" si="52"/>
        <v>0</v>
      </c>
      <c r="I192" s="78">
        <f t="shared" si="56"/>
        <v>0</v>
      </c>
      <c r="J192" s="65">
        <f t="shared" si="57"/>
        <v>0</v>
      </c>
      <c r="K192" s="77">
        <v>100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  <c r="HI192" s="33"/>
      <c r="HJ192" s="33"/>
      <c r="HK192" s="33"/>
      <c r="HL192" s="33"/>
      <c r="HM192" s="33"/>
      <c r="HN192" s="33"/>
      <c r="HO192" s="33"/>
      <c r="HP192" s="33"/>
      <c r="HQ192" s="33"/>
      <c r="HR192" s="33"/>
      <c r="HS192" s="33"/>
      <c r="HT192" s="33"/>
      <c r="HU192" s="33"/>
      <c r="HV192" s="33"/>
      <c r="HW192" s="33"/>
      <c r="HX192" s="33"/>
      <c r="HY192" s="33"/>
      <c r="HZ192" s="33"/>
      <c r="IA192" s="33"/>
      <c r="IB192" s="33"/>
      <c r="IC192" s="33"/>
      <c r="ID192" s="33"/>
      <c r="IE192" s="33"/>
      <c r="IF192" s="33"/>
      <c r="IG192" s="33"/>
      <c r="IH192" s="33"/>
      <c r="II192" s="33"/>
      <c r="IJ192" s="33"/>
      <c r="IK192" s="33"/>
      <c r="IL192" s="33"/>
      <c r="IM192" s="33"/>
    </row>
    <row r="193" spans="1:247" ht="17.25" customHeight="1">
      <c r="A193" s="66" t="str">
        <f t="shared" ca="1" si="55"/>
        <v>3.4.5</v>
      </c>
      <c r="B193" s="110" t="s">
        <v>118</v>
      </c>
      <c r="C193" s="98"/>
      <c r="D193" s="64"/>
      <c r="E193" s="64"/>
      <c r="F193" s="65"/>
      <c r="G193" s="68"/>
      <c r="H193" s="65">
        <f t="shared" si="52"/>
        <v>0</v>
      </c>
      <c r="I193" s="78">
        <f t="shared" si="56"/>
        <v>0</v>
      </c>
      <c r="J193" s="65">
        <f t="shared" si="57"/>
        <v>0</v>
      </c>
      <c r="K193" s="77">
        <v>100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  <c r="HI193" s="33"/>
      <c r="HJ193" s="33"/>
      <c r="HK193" s="33"/>
      <c r="HL193" s="33"/>
      <c r="HM193" s="33"/>
      <c r="HN193" s="33"/>
      <c r="HO193" s="33"/>
      <c r="HP193" s="33"/>
      <c r="HQ193" s="33"/>
      <c r="HR193" s="33"/>
      <c r="HS193" s="33"/>
      <c r="HT193" s="33"/>
      <c r="HU193" s="33"/>
      <c r="HV193" s="33"/>
      <c r="HW193" s="33"/>
      <c r="HX193" s="33"/>
      <c r="HY193" s="33"/>
      <c r="HZ193" s="33"/>
      <c r="IA193" s="33"/>
      <c r="IB193" s="33"/>
      <c r="IC193" s="33"/>
      <c r="ID193" s="33"/>
      <c r="IE193" s="33"/>
      <c r="IF193" s="33"/>
      <c r="IG193" s="33"/>
      <c r="IH193" s="33"/>
      <c r="II193" s="33"/>
      <c r="IJ193" s="33"/>
      <c r="IK193" s="33"/>
      <c r="IL193" s="33"/>
      <c r="IM193" s="33"/>
    </row>
    <row r="194" spans="1:247" ht="17.25" customHeight="1">
      <c r="A194" s="66" t="str">
        <f t="shared" ca="1" si="55"/>
        <v>3.4.6</v>
      </c>
      <c r="B194" s="110" t="s">
        <v>125</v>
      </c>
      <c r="C194" s="98"/>
      <c r="D194" s="64"/>
      <c r="E194" s="64"/>
      <c r="F194" s="65"/>
      <c r="G194" s="68"/>
      <c r="H194" s="65">
        <f t="shared" si="52"/>
        <v>0</v>
      </c>
      <c r="I194" s="78">
        <f t="shared" si="56"/>
        <v>0</v>
      </c>
      <c r="J194" s="65">
        <f t="shared" si="57"/>
        <v>0</v>
      </c>
      <c r="K194" s="77">
        <v>100</v>
      </c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  <c r="HI194" s="33"/>
      <c r="HJ194" s="33"/>
      <c r="HK194" s="33"/>
      <c r="HL194" s="33"/>
      <c r="HM194" s="33"/>
      <c r="HN194" s="33"/>
      <c r="HO194" s="33"/>
      <c r="HP194" s="33"/>
      <c r="HQ194" s="33"/>
      <c r="HR194" s="33"/>
      <c r="HS194" s="33"/>
      <c r="HT194" s="33"/>
      <c r="HU194" s="33"/>
      <c r="HV194" s="33"/>
      <c r="HW194" s="33"/>
      <c r="HX194" s="33"/>
      <c r="HY194" s="33"/>
      <c r="HZ194" s="33"/>
      <c r="IA194" s="33"/>
      <c r="IB194" s="33"/>
      <c r="IC194" s="33"/>
      <c r="ID194" s="33"/>
      <c r="IE194" s="33"/>
      <c r="IF194" s="33"/>
      <c r="IG194" s="33"/>
      <c r="IH194" s="33"/>
      <c r="II194" s="33"/>
      <c r="IJ194" s="33"/>
      <c r="IK194" s="33"/>
      <c r="IL194" s="33"/>
      <c r="IM194" s="33"/>
    </row>
    <row r="195" spans="1:247" ht="17.25" customHeight="1">
      <c r="A195" s="66" t="str">
        <f t="shared" ca="1" si="55"/>
        <v>3.4.7</v>
      </c>
      <c r="B195" s="110" t="s">
        <v>110</v>
      </c>
      <c r="C195" s="98"/>
      <c r="D195" s="64"/>
      <c r="E195" s="64"/>
      <c r="F195" s="65"/>
      <c r="G195" s="68"/>
      <c r="H195" s="65">
        <f t="shared" si="52"/>
        <v>0</v>
      </c>
      <c r="I195" s="78">
        <f t="shared" si="56"/>
        <v>0</v>
      </c>
      <c r="J195" s="65">
        <f t="shared" si="57"/>
        <v>0</v>
      </c>
      <c r="K195" s="77">
        <v>100</v>
      </c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  <c r="HI195" s="33"/>
      <c r="HJ195" s="33"/>
      <c r="HK195" s="33"/>
      <c r="HL195" s="33"/>
      <c r="HM195" s="33"/>
      <c r="HN195" s="33"/>
      <c r="HO195" s="33"/>
      <c r="HP195" s="33"/>
      <c r="HQ195" s="33"/>
      <c r="HR195" s="33"/>
      <c r="HS195" s="33"/>
      <c r="HT195" s="33"/>
      <c r="HU195" s="33"/>
      <c r="HV195" s="33"/>
      <c r="HW195" s="33"/>
      <c r="HX195" s="33"/>
      <c r="HY195" s="33"/>
      <c r="HZ195" s="33"/>
      <c r="IA195" s="33"/>
      <c r="IB195" s="33"/>
      <c r="IC195" s="33"/>
      <c r="ID195" s="33"/>
      <c r="IE195" s="33"/>
      <c r="IF195" s="33"/>
      <c r="IG195" s="33"/>
      <c r="IH195" s="33"/>
      <c r="II195" s="33"/>
      <c r="IJ195" s="33"/>
      <c r="IK195" s="33"/>
      <c r="IL195" s="33"/>
      <c r="IM195" s="33"/>
    </row>
    <row r="196" spans="1:247" ht="17.25" customHeight="1">
      <c r="A196" s="66" t="str">
        <f t="shared" ca="1" si="55"/>
        <v>3.4.8</v>
      </c>
      <c r="B196" s="110" t="s">
        <v>126</v>
      </c>
      <c r="C196" s="98"/>
      <c r="D196" s="64"/>
      <c r="E196" s="64"/>
      <c r="F196" s="65"/>
      <c r="G196" s="68"/>
      <c r="H196" s="65">
        <f t="shared" si="52"/>
        <v>0</v>
      </c>
      <c r="I196" s="78">
        <f t="shared" si="56"/>
        <v>0</v>
      </c>
      <c r="J196" s="65">
        <f t="shared" si="57"/>
        <v>0</v>
      </c>
      <c r="K196" s="77">
        <v>100</v>
      </c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  <c r="HI196" s="33"/>
      <c r="HJ196" s="33"/>
      <c r="HK196" s="33"/>
      <c r="HL196" s="33"/>
      <c r="HM196" s="33"/>
      <c r="HN196" s="33"/>
      <c r="HO196" s="33"/>
      <c r="HP196" s="33"/>
      <c r="HQ196" s="33"/>
      <c r="HR196" s="33"/>
      <c r="HS196" s="33"/>
      <c r="HT196" s="33"/>
      <c r="HU196" s="33"/>
      <c r="HV196" s="33"/>
      <c r="HW196" s="33"/>
      <c r="HX196" s="33"/>
      <c r="HY196" s="33"/>
      <c r="HZ196" s="33"/>
      <c r="IA196" s="33"/>
      <c r="IB196" s="33"/>
      <c r="IC196" s="33"/>
      <c r="ID196" s="33"/>
      <c r="IE196" s="33"/>
      <c r="IF196" s="33"/>
      <c r="IG196" s="33"/>
      <c r="IH196" s="33"/>
      <c r="II196" s="33"/>
      <c r="IJ196" s="33"/>
      <c r="IK196" s="33"/>
      <c r="IL196" s="33"/>
      <c r="IM196" s="33"/>
    </row>
    <row r="197" spans="1:247" ht="17.25" customHeight="1">
      <c r="A197" s="63" t="str">
        <f ca="1">IF(ISERROR(VALUE(SUBSTITUTE(OFFSET(A197,-1,0,1,1),".",""))),"0.1",IF(ISERROR(FIND("`",SUBSTITUTE(OFFSET(A197,-1,0,1,1),".","`",1))),OFFSET(A197,-1,0,1,1)&amp;".1",LEFT(OFFSET(A197,-1,0,1,1),FIND("`",SUBSTITUTE(OFFSET(A197,-1,0,1,1),".","`",1)))&amp;IF(ISERROR(FIND("`",SUBSTITUTE(OFFSET(A197,-1,0,1,1),".","`",2))),VALUE(RIGHT(OFFSET(A197,-1,0,1,1),LEN(OFFSET(A197,-1,0,1,1))-FIND("`",SUBSTITUTE(OFFSET(A197,-1,0,1,1),".","`",1))))+1,VALUE(MID(OFFSET(A197,-1,0,1,1),FIND("`",SUBSTITUTE(OFFSET(A197,-1,0,1,1),".","`",1))+1,(FIND("`",SUBSTITUTE(OFFSET(A197,-1,0,1,1),".","`",2))-FIND("`",SUBSTITUTE(OFFSET(A197,-1,0,1,1),".","`",1))-1)))+1)))</f>
        <v>3.5</v>
      </c>
      <c r="B197" s="108" t="s">
        <v>127</v>
      </c>
      <c r="C197" s="98"/>
      <c r="D197" s="64"/>
      <c r="E197" s="64"/>
      <c r="F197" s="65"/>
      <c r="G197" s="68"/>
      <c r="H197" s="65">
        <f t="shared" si="52"/>
        <v>0</v>
      </c>
      <c r="I197" s="78">
        <f t="shared" si="56"/>
        <v>0</v>
      </c>
      <c r="J197" s="65">
        <f t="shared" si="57"/>
        <v>0</v>
      </c>
      <c r="K197" s="77">
        <v>100</v>
      </c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  <c r="HI197" s="33"/>
      <c r="HJ197" s="33"/>
      <c r="HK197" s="33"/>
      <c r="HL197" s="33"/>
      <c r="HM197" s="33"/>
      <c r="HN197" s="33"/>
      <c r="HO197" s="33"/>
      <c r="HP197" s="33"/>
      <c r="HQ197" s="33"/>
      <c r="HR197" s="33"/>
      <c r="HS197" s="33"/>
      <c r="HT197" s="33"/>
      <c r="HU197" s="33"/>
      <c r="HV197" s="33"/>
      <c r="HW197" s="33"/>
      <c r="HX197" s="33"/>
      <c r="HY197" s="33"/>
      <c r="HZ197" s="33"/>
      <c r="IA197" s="33"/>
      <c r="IB197" s="33"/>
      <c r="IC197" s="33"/>
      <c r="ID197" s="33"/>
      <c r="IE197" s="33"/>
      <c r="IF197" s="33"/>
      <c r="IG197" s="33"/>
      <c r="IH197" s="33"/>
      <c r="II197" s="33"/>
      <c r="IJ197" s="33"/>
      <c r="IK197" s="33"/>
      <c r="IL197" s="33"/>
      <c r="IM197" s="33"/>
    </row>
    <row r="198" spans="1:247" ht="17.25" customHeight="1">
      <c r="A198" s="66" t="str">
        <f t="shared" ca="1" si="55"/>
        <v>3.5.1</v>
      </c>
      <c r="B198" s="110" t="s">
        <v>128</v>
      </c>
      <c r="C198" s="98"/>
      <c r="D198" s="64"/>
      <c r="E198" s="64"/>
      <c r="F198" s="65"/>
      <c r="G198" s="68"/>
      <c r="H198" s="65">
        <f t="shared" si="52"/>
        <v>0</v>
      </c>
      <c r="I198" s="78">
        <f t="shared" si="56"/>
        <v>0</v>
      </c>
      <c r="J198" s="65">
        <f t="shared" si="57"/>
        <v>0</v>
      </c>
      <c r="K198" s="77">
        <v>100</v>
      </c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  <c r="HI198" s="33"/>
      <c r="HJ198" s="33"/>
      <c r="HK198" s="33"/>
      <c r="HL198" s="33"/>
      <c r="HM198" s="33"/>
      <c r="HN198" s="33"/>
      <c r="HO198" s="33"/>
      <c r="HP198" s="33"/>
      <c r="HQ198" s="33"/>
      <c r="HR198" s="33"/>
      <c r="HS198" s="33"/>
      <c r="HT198" s="33"/>
      <c r="HU198" s="33"/>
      <c r="HV198" s="33"/>
      <c r="HW198" s="33"/>
      <c r="HX198" s="33"/>
      <c r="HY198" s="33"/>
      <c r="HZ198" s="33"/>
      <c r="IA198" s="33"/>
      <c r="IB198" s="33"/>
      <c r="IC198" s="33"/>
      <c r="ID198" s="33"/>
      <c r="IE198" s="33"/>
      <c r="IF198" s="33"/>
      <c r="IG198" s="33"/>
      <c r="IH198" s="33"/>
      <c r="II198" s="33"/>
      <c r="IJ198" s="33"/>
      <c r="IK198" s="33"/>
      <c r="IL198" s="33"/>
      <c r="IM198" s="33"/>
    </row>
    <row r="199" spans="1:247" ht="17.25" customHeight="1">
      <c r="A199" s="66" t="str">
        <f t="shared" ca="1" si="55"/>
        <v>3.5.2</v>
      </c>
      <c r="B199" s="110" t="s">
        <v>129</v>
      </c>
      <c r="C199" s="98"/>
      <c r="D199" s="64"/>
      <c r="E199" s="64"/>
      <c r="F199" s="65"/>
      <c r="G199" s="68"/>
      <c r="H199" s="65">
        <f t="shared" si="52"/>
        <v>0</v>
      </c>
      <c r="I199" s="78">
        <f t="shared" si="56"/>
        <v>0</v>
      </c>
      <c r="J199" s="65">
        <f t="shared" si="57"/>
        <v>0</v>
      </c>
      <c r="K199" s="77">
        <v>100</v>
      </c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  <c r="HI199" s="33"/>
      <c r="HJ199" s="33"/>
      <c r="HK199" s="33"/>
      <c r="HL199" s="33"/>
      <c r="HM199" s="33"/>
      <c r="HN199" s="33"/>
      <c r="HO199" s="33"/>
      <c r="HP199" s="33"/>
      <c r="HQ199" s="33"/>
      <c r="HR199" s="33"/>
      <c r="HS199" s="33"/>
      <c r="HT199" s="33"/>
      <c r="HU199" s="33"/>
      <c r="HV199" s="33"/>
      <c r="HW199" s="33"/>
      <c r="HX199" s="33"/>
      <c r="HY199" s="33"/>
      <c r="HZ199" s="33"/>
      <c r="IA199" s="33"/>
      <c r="IB199" s="33"/>
      <c r="IC199" s="33"/>
      <c r="ID199" s="33"/>
      <c r="IE199" s="33"/>
      <c r="IF199" s="33"/>
      <c r="IG199" s="33"/>
      <c r="IH199" s="33"/>
      <c r="II199" s="33"/>
      <c r="IJ199" s="33"/>
      <c r="IK199" s="33"/>
      <c r="IL199" s="33"/>
      <c r="IM199" s="33"/>
    </row>
    <row r="200" spans="1:247" ht="17.25" customHeight="1">
      <c r="A200" s="66" t="str">
        <f t="shared" ca="1" si="55"/>
        <v>3.5.3</v>
      </c>
      <c r="B200" s="110" t="s">
        <v>130</v>
      </c>
      <c r="C200" s="98"/>
      <c r="D200" s="64"/>
      <c r="E200" s="64"/>
      <c r="F200" s="65"/>
      <c r="G200" s="68"/>
      <c r="H200" s="65">
        <f t="shared" si="52"/>
        <v>0</v>
      </c>
      <c r="I200" s="78">
        <f t="shared" si="56"/>
        <v>0</v>
      </c>
      <c r="J200" s="65">
        <f t="shared" si="57"/>
        <v>0</v>
      </c>
      <c r="K200" s="77">
        <v>100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  <c r="HI200" s="33"/>
      <c r="HJ200" s="33"/>
      <c r="HK200" s="33"/>
      <c r="HL200" s="33"/>
      <c r="HM200" s="33"/>
      <c r="HN200" s="33"/>
      <c r="HO200" s="33"/>
      <c r="HP200" s="33"/>
      <c r="HQ200" s="33"/>
      <c r="HR200" s="33"/>
      <c r="HS200" s="33"/>
      <c r="HT200" s="33"/>
      <c r="HU200" s="33"/>
      <c r="HV200" s="33"/>
      <c r="HW200" s="33"/>
      <c r="HX200" s="33"/>
      <c r="HY200" s="33"/>
      <c r="HZ200" s="33"/>
      <c r="IA200" s="33"/>
      <c r="IB200" s="33"/>
      <c r="IC200" s="33"/>
      <c r="ID200" s="33"/>
      <c r="IE200" s="33"/>
      <c r="IF200" s="33"/>
      <c r="IG200" s="33"/>
      <c r="IH200" s="33"/>
      <c r="II200" s="33"/>
      <c r="IJ200" s="33"/>
      <c r="IK200" s="33"/>
      <c r="IL200" s="33"/>
      <c r="IM200" s="33"/>
    </row>
    <row r="201" spans="1:247" ht="17.25" customHeight="1">
      <c r="A201" s="66" t="str">
        <f t="shared" ca="1" si="55"/>
        <v>3.5.4</v>
      </c>
      <c r="B201" s="110" t="s">
        <v>131</v>
      </c>
      <c r="C201" s="98"/>
      <c r="D201" s="64"/>
      <c r="E201" s="64"/>
      <c r="F201" s="65"/>
      <c r="G201" s="68"/>
      <c r="H201" s="65">
        <f t="shared" si="52"/>
        <v>0</v>
      </c>
      <c r="I201" s="78">
        <f t="shared" si="56"/>
        <v>0</v>
      </c>
      <c r="J201" s="65">
        <f t="shared" si="57"/>
        <v>0</v>
      </c>
      <c r="K201" s="77">
        <v>100</v>
      </c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  <c r="HI201" s="33"/>
      <c r="HJ201" s="33"/>
      <c r="HK201" s="33"/>
      <c r="HL201" s="33"/>
      <c r="HM201" s="33"/>
      <c r="HN201" s="33"/>
      <c r="HO201" s="33"/>
      <c r="HP201" s="33"/>
      <c r="HQ201" s="33"/>
      <c r="HR201" s="33"/>
      <c r="HS201" s="33"/>
      <c r="HT201" s="33"/>
      <c r="HU201" s="33"/>
      <c r="HV201" s="33"/>
      <c r="HW201" s="33"/>
      <c r="HX201" s="33"/>
      <c r="HY201" s="33"/>
      <c r="HZ201" s="33"/>
      <c r="IA201" s="33"/>
      <c r="IB201" s="33"/>
      <c r="IC201" s="33"/>
      <c r="ID201" s="33"/>
      <c r="IE201" s="33"/>
      <c r="IF201" s="33"/>
      <c r="IG201" s="33"/>
      <c r="IH201" s="33"/>
      <c r="II201" s="33"/>
      <c r="IJ201" s="33"/>
      <c r="IK201" s="33"/>
      <c r="IL201" s="33"/>
      <c r="IM201" s="33"/>
    </row>
    <row r="202" spans="1:247" ht="17.25" customHeight="1">
      <c r="A202" s="66" t="str">
        <f t="shared" ca="1" si="55"/>
        <v>3.5.5</v>
      </c>
      <c r="B202" s="110" t="s">
        <v>132</v>
      </c>
      <c r="C202" s="98"/>
      <c r="D202" s="64"/>
      <c r="E202" s="64"/>
      <c r="F202" s="65"/>
      <c r="G202" s="68"/>
      <c r="H202" s="65">
        <f t="shared" si="52"/>
        <v>0</v>
      </c>
      <c r="I202" s="78">
        <f t="shared" si="56"/>
        <v>0</v>
      </c>
      <c r="J202" s="65">
        <f t="shared" si="57"/>
        <v>0</v>
      </c>
      <c r="K202" s="77">
        <v>100</v>
      </c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  <c r="HI202" s="33"/>
      <c r="HJ202" s="33"/>
      <c r="HK202" s="33"/>
      <c r="HL202" s="33"/>
      <c r="HM202" s="33"/>
      <c r="HN202" s="33"/>
      <c r="HO202" s="33"/>
      <c r="HP202" s="33"/>
      <c r="HQ202" s="33"/>
      <c r="HR202" s="33"/>
      <c r="HS202" s="33"/>
      <c r="HT202" s="33"/>
      <c r="HU202" s="33"/>
      <c r="HV202" s="33"/>
      <c r="HW202" s="33"/>
      <c r="HX202" s="33"/>
      <c r="HY202" s="33"/>
      <c r="HZ202" s="33"/>
      <c r="IA202" s="33"/>
      <c r="IB202" s="33"/>
      <c r="IC202" s="33"/>
      <c r="ID202" s="33"/>
      <c r="IE202" s="33"/>
      <c r="IF202" s="33"/>
      <c r="IG202" s="33"/>
      <c r="IH202" s="33"/>
      <c r="II202" s="33"/>
      <c r="IJ202" s="33"/>
      <c r="IK202" s="33"/>
      <c r="IL202" s="33"/>
      <c r="IM202" s="33"/>
    </row>
    <row r="203" spans="1:247" ht="17.25" customHeight="1">
      <c r="A203" s="66" t="str">
        <f t="shared" ca="1" si="55"/>
        <v>3.5.6</v>
      </c>
      <c r="B203" s="110" t="s">
        <v>133</v>
      </c>
      <c r="C203" s="98"/>
      <c r="D203" s="64"/>
      <c r="E203" s="64"/>
      <c r="F203" s="65"/>
      <c r="G203" s="68"/>
      <c r="H203" s="65">
        <f t="shared" si="52"/>
        <v>0</v>
      </c>
      <c r="I203" s="78">
        <f t="shared" si="56"/>
        <v>0</v>
      </c>
      <c r="J203" s="65">
        <f t="shared" si="57"/>
        <v>0</v>
      </c>
      <c r="K203" s="77">
        <v>100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  <c r="HI203" s="33"/>
      <c r="HJ203" s="33"/>
      <c r="HK203" s="33"/>
      <c r="HL203" s="33"/>
      <c r="HM203" s="33"/>
      <c r="HN203" s="33"/>
      <c r="HO203" s="33"/>
      <c r="HP203" s="33"/>
      <c r="HQ203" s="33"/>
      <c r="HR203" s="33"/>
      <c r="HS203" s="33"/>
      <c r="HT203" s="33"/>
      <c r="HU203" s="33"/>
      <c r="HV203" s="33"/>
      <c r="HW203" s="33"/>
      <c r="HX203" s="33"/>
      <c r="HY203" s="33"/>
      <c r="HZ203" s="33"/>
      <c r="IA203" s="33"/>
      <c r="IB203" s="33"/>
      <c r="IC203" s="33"/>
      <c r="ID203" s="33"/>
      <c r="IE203" s="33"/>
      <c r="IF203" s="33"/>
      <c r="IG203" s="33"/>
      <c r="IH203" s="33"/>
      <c r="II203" s="33"/>
      <c r="IJ203" s="33"/>
      <c r="IK203" s="33"/>
      <c r="IL203" s="33"/>
      <c r="IM203" s="33"/>
    </row>
    <row r="204" spans="1:247" ht="17.25" customHeight="1">
      <c r="A204" s="59">
        <f ca="1">IF(ISERROR(VALUE(SUBSTITUTE(OFFSET(A204,-1,0,1,1),".",""))),1,IF(ISERROR(FIND("`",SUBSTITUTE(OFFSET(A204,-1,0,1,1),".","`",1))),VALUE(OFFSET(A204,-1,0,1,1))+1,VALUE(LEFT(OFFSET(A204,-1,0,1,1),FIND("`",SUBSTITUTE(OFFSET(A204,-1,0,1,1),".","`",1))-1))+1))</f>
        <v>4</v>
      </c>
      <c r="B204" s="105" t="s">
        <v>138</v>
      </c>
      <c r="C204" s="98" t="s">
        <v>160</v>
      </c>
      <c r="D204" s="64">
        <v>42112</v>
      </c>
      <c r="E204" s="64">
        <f t="shared" ref="E204" si="58">D204+F204-1</f>
        <v>42115</v>
      </c>
      <c r="F204" s="65">
        <v>4</v>
      </c>
      <c r="G204" s="68"/>
      <c r="H204" s="65">
        <f t="shared" si="52"/>
        <v>2</v>
      </c>
      <c r="I204" s="78">
        <f t="shared" si="56"/>
        <v>0</v>
      </c>
      <c r="J204" s="65">
        <f t="shared" si="57"/>
        <v>4</v>
      </c>
      <c r="K204" s="77">
        <v>100</v>
      </c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  <c r="HI204" s="33"/>
      <c r="HJ204" s="33"/>
      <c r="HK204" s="33"/>
      <c r="HL204" s="33"/>
      <c r="HM204" s="33"/>
      <c r="HN204" s="33"/>
      <c r="HO204" s="33"/>
      <c r="HP204" s="33"/>
      <c r="HQ204" s="33"/>
      <c r="HR204" s="33"/>
      <c r="HS204" s="33"/>
      <c r="HT204" s="33"/>
      <c r="HU204" s="33"/>
      <c r="HV204" s="33"/>
      <c r="HW204" s="33"/>
      <c r="HX204" s="33"/>
      <c r="HY204" s="33"/>
      <c r="HZ204" s="33"/>
      <c r="IA204" s="33"/>
      <c r="IB204" s="33"/>
      <c r="IC204" s="33"/>
      <c r="ID204" s="33"/>
      <c r="IE204" s="33"/>
      <c r="IF204" s="33"/>
      <c r="IG204" s="33"/>
      <c r="IH204" s="33"/>
      <c r="II204" s="33"/>
      <c r="IJ204" s="33"/>
      <c r="IK204" s="33"/>
      <c r="IL204" s="33"/>
      <c r="IM204" s="33"/>
    </row>
    <row r="205" spans="1:247" ht="17.25" customHeight="1">
      <c r="A205" s="66" t="str">
        <f ca="1">IF(ISERROR(VALUE(SUBSTITUTE(OFFSET(A205,-1,0,1,1),".",""))),"0.0.1",IF(ISERROR(FIND("`",SUBSTITUTE(OFFSET(A205,-1,0,1,1),".","`",2))),OFFSET(A205,-1,0,1,1)&amp;".1",LEFT(OFFSET(A205,-1,0,1,1),FIND("`",SUBSTITUTE(OFFSET(A205,-1,0,1,1),".","`",2)))&amp;IF(ISERROR(FIND("`",SUBSTITUTE(OFFSET(A205,-1,0,1,1),".","`",3))),VALUE(RIGHT(OFFSET(A205,-1,0,1,1),LEN(OFFSET(A205,-1,0,1,1))-FIND("`",SUBSTITUTE(OFFSET(A205,-1,0,1,1),".","`",2))))+1,VALUE(MID(OFFSET(A205,-1,0,1,1),FIND("`",SUBSTITUTE(OFFSET(A205,-1,0,1,1),".","`",2))+1,(FIND("`",SUBSTITUTE(OFFSET(A205,-1,0,1,1),".","`",3))-FIND("`",SUBSTITUTE(OFFSET(A205,-1,0,1,1),".","`",2))-1)))+1)))</f>
        <v>4.1</v>
      </c>
      <c r="B205" s="108" t="s">
        <v>147</v>
      </c>
      <c r="C205" s="98"/>
      <c r="D205" s="64"/>
      <c r="E205" s="64"/>
      <c r="F205" s="65"/>
      <c r="G205" s="68"/>
      <c r="H205" s="65">
        <f t="shared" si="52"/>
        <v>0</v>
      </c>
      <c r="I205" s="78">
        <f t="shared" si="56"/>
        <v>0</v>
      </c>
      <c r="J205" s="65">
        <f t="shared" si="57"/>
        <v>0</v>
      </c>
      <c r="K205" s="77">
        <v>100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  <c r="HI205" s="33"/>
      <c r="HJ205" s="33"/>
      <c r="HK205" s="33"/>
      <c r="HL205" s="33"/>
      <c r="HM205" s="33"/>
      <c r="HN205" s="33"/>
      <c r="HO205" s="33"/>
      <c r="HP205" s="33"/>
      <c r="HQ205" s="33"/>
      <c r="HR205" s="33"/>
      <c r="HS205" s="33"/>
      <c r="HT205" s="33"/>
      <c r="HU205" s="33"/>
      <c r="HV205" s="33"/>
      <c r="HW205" s="33"/>
      <c r="HX205" s="33"/>
      <c r="HY205" s="33"/>
      <c r="HZ205" s="33"/>
      <c r="IA205" s="33"/>
      <c r="IB205" s="33"/>
      <c r="IC205" s="33"/>
      <c r="ID205" s="33"/>
      <c r="IE205" s="33"/>
      <c r="IF205" s="33"/>
      <c r="IG205" s="33"/>
      <c r="IH205" s="33"/>
      <c r="II205" s="33"/>
      <c r="IJ205" s="33"/>
      <c r="IK205" s="33"/>
      <c r="IL205" s="33"/>
      <c r="IM205" s="33"/>
    </row>
    <row r="206" spans="1:247" ht="17.25" customHeight="1">
      <c r="A206" s="63" t="str">
        <f t="shared" ref="A206:A213" ca="1" si="59">IF(ISERROR(VALUE(SUBSTITUTE(OFFSET(A206,-1,0,1,1),".",""))),"0.1",IF(ISERROR(FIND("`",SUBSTITUTE(OFFSET(A206,-1,0,1,1),".","`",1))),OFFSET(A206,-1,0,1,1)&amp;".1",LEFT(OFFSET(A206,-1,0,1,1),FIND("`",SUBSTITUTE(OFFSET(A206,-1,0,1,1),".","`",1)))&amp;IF(ISERROR(FIND("`",SUBSTITUTE(OFFSET(A206,-1,0,1,1),".","`",2))),VALUE(RIGHT(OFFSET(A206,-1,0,1,1),LEN(OFFSET(A206,-1,0,1,1))-FIND("`",SUBSTITUTE(OFFSET(A206,-1,0,1,1),".","`",1))))+1,VALUE(MID(OFFSET(A206,-1,0,1,1),FIND("`",SUBSTITUTE(OFFSET(A206,-1,0,1,1),".","`",1))+1,(FIND("`",SUBSTITUTE(OFFSET(A206,-1,0,1,1),".","`",2))-FIND("`",SUBSTITUTE(OFFSET(A206,-1,0,1,1),".","`",1))-1)))+1)))</f>
        <v>4.2</v>
      </c>
      <c r="B206" s="107" t="s">
        <v>139</v>
      </c>
      <c r="C206" s="98"/>
      <c r="D206" s="64"/>
      <c r="E206" s="64"/>
      <c r="F206" s="65"/>
      <c r="G206" s="68"/>
      <c r="H206" s="65">
        <f t="shared" si="52"/>
        <v>0</v>
      </c>
      <c r="I206" s="78">
        <f t="shared" si="56"/>
        <v>0</v>
      </c>
      <c r="J206" s="65">
        <f t="shared" si="57"/>
        <v>0</v>
      </c>
      <c r="K206" s="77">
        <v>100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  <c r="HI206" s="33"/>
      <c r="HJ206" s="33"/>
      <c r="HK206" s="33"/>
      <c r="HL206" s="33"/>
      <c r="HM206" s="33"/>
      <c r="HN206" s="33"/>
      <c r="HO206" s="33"/>
      <c r="HP206" s="33"/>
      <c r="HQ206" s="33"/>
      <c r="HR206" s="33"/>
      <c r="HS206" s="33"/>
      <c r="HT206" s="33"/>
      <c r="HU206" s="33"/>
      <c r="HV206" s="33"/>
      <c r="HW206" s="33"/>
      <c r="HX206" s="33"/>
      <c r="HY206" s="33"/>
      <c r="HZ206" s="33"/>
      <c r="IA206" s="33"/>
      <c r="IB206" s="33"/>
      <c r="IC206" s="33"/>
      <c r="ID206" s="33"/>
      <c r="IE206" s="33"/>
      <c r="IF206" s="33"/>
      <c r="IG206" s="33"/>
      <c r="IH206" s="33"/>
      <c r="II206" s="33"/>
      <c r="IJ206" s="33"/>
      <c r="IK206" s="33"/>
      <c r="IL206" s="33"/>
      <c r="IM206" s="33"/>
    </row>
    <row r="207" spans="1:247" ht="17.25" customHeight="1">
      <c r="A207" s="63" t="str">
        <f t="shared" ca="1" si="59"/>
        <v>4.3</v>
      </c>
      <c r="B207" s="108" t="s">
        <v>140</v>
      </c>
      <c r="C207" s="98"/>
      <c r="D207" s="64"/>
      <c r="E207" s="64"/>
      <c r="F207" s="65"/>
      <c r="G207" s="68"/>
      <c r="H207" s="65">
        <f t="shared" si="52"/>
        <v>0</v>
      </c>
      <c r="I207" s="78">
        <f t="shared" si="56"/>
        <v>0</v>
      </c>
      <c r="J207" s="65">
        <f t="shared" si="57"/>
        <v>0</v>
      </c>
      <c r="K207" s="77">
        <v>100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  <c r="HI207" s="33"/>
      <c r="HJ207" s="33"/>
      <c r="HK207" s="33"/>
      <c r="HL207" s="33"/>
      <c r="HM207" s="33"/>
      <c r="HN207" s="33"/>
      <c r="HO207" s="33"/>
      <c r="HP207" s="33"/>
      <c r="HQ207" s="33"/>
      <c r="HR207" s="33"/>
      <c r="HS207" s="33"/>
      <c r="HT207" s="33"/>
      <c r="HU207" s="33"/>
      <c r="HV207" s="33"/>
      <c r="HW207" s="33"/>
      <c r="HX207" s="33"/>
      <c r="HY207" s="33"/>
      <c r="HZ207" s="33"/>
      <c r="IA207" s="33"/>
      <c r="IB207" s="33"/>
      <c r="IC207" s="33"/>
      <c r="ID207" s="33"/>
      <c r="IE207" s="33"/>
      <c r="IF207" s="33"/>
      <c r="IG207" s="33"/>
      <c r="IH207" s="33"/>
      <c r="II207" s="33"/>
      <c r="IJ207" s="33"/>
      <c r="IK207" s="33"/>
      <c r="IL207" s="33"/>
      <c r="IM207" s="33"/>
    </row>
    <row r="208" spans="1:247" ht="17.25" customHeight="1">
      <c r="A208" s="63" t="str">
        <f t="shared" ca="1" si="59"/>
        <v>4.4</v>
      </c>
      <c r="B208" s="108" t="s">
        <v>141</v>
      </c>
      <c r="C208" s="98"/>
      <c r="D208" s="64"/>
      <c r="E208" s="64"/>
      <c r="F208" s="65"/>
      <c r="G208" s="68"/>
      <c r="H208" s="65">
        <f t="shared" si="52"/>
        <v>0</v>
      </c>
      <c r="I208" s="78">
        <f t="shared" si="56"/>
        <v>0</v>
      </c>
      <c r="J208" s="65">
        <f t="shared" si="57"/>
        <v>0</v>
      </c>
      <c r="K208" s="77">
        <v>100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  <c r="HI208" s="33"/>
      <c r="HJ208" s="33"/>
      <c r="HK208" s="33"/>
      <c r="HL208" s="33"/>
      <c r="HM208" s="33"/>
      <c r="HN208" s="33"/>
      <c r="HO208" s="33"/>
      <c r="HP208" s="33"/>
      <c r="HQ208" s="33"/>
      <c r="HR208" s="33"/>
      <c r="HS208" s="33"/>
      <c r="HT208" s="33"/>
      <c r="HU208" s="33"/>
      <c r="HV208" s="33"/>
      <c r="HW208" s="33"/>
      <c r="HX208" s="33"/>
      <c r="HY208" s="33"/>
      <c r="HZ208" s="33"/>
      <c r="IA208" s="33"/>
      <c r="IB208" s="33"/>
      <c r="IC208" s="33"/>
      <c r="ID208" s="33"/>
      <c r="IE208" s="33"/>
      <c r="IF208" s="33"/>
      <c r="IG208" s="33"/>
      <c r="IH208" s="33"/>
      <c r="II208" s="33"/>
      <c r="IJ208" s="33"/>
      <c r="IK208" s="33"/>
      <c r="IL208" s="33"/>
      <c r="IM208" s="33"/>
    </row>
    <row r="209" spans="1:247" ht="17.25" customHeight="1">
      <c r="A209" s="63" t="str">
        <f t="shared" ca="1" si="59"/>
        <v>4.5</v>
      </c>
      <c r="B209" s="108" t="s">
        <v>142</v>
      </c>
      <c r="C209" s="98"/>
      <c r="D209" s="64"/>
      <c r="E209" s="64"/>
      <c r="F209" s="65"/>
      <c r="G209" s="68"/>
      <c r="H209" s="65">
        <f t="shared" si="52"/>
        <v>0</v>
      </c>
      <c r="I209" s="78">
        <f t="shared" si="56"/>
        <v>0</v>
      </c>
      <c r="J209" s="65">
        <f t="shared" si="57"/>
        <v>0</v>
      </c>
      <c r="K209" s="77">
        <v>100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33"/>
      <c r="HQ209" s="33"/>
      <c r="HR209" s="33"/>
      <c r="HS209" s="33"/>
      <c r="HT209" s="33"/>
      <c r="HU209" s="33"/>
      <c r="HV209" s="33"/>
      <c r="HW209" s="33"/>
      <c r="HX209" s="33"/>
      <c r="HY209" s="33"/>
      <c r="HZ209" s="33"/>
      <c r="IA209" s="33"/>
      <c r="IB209" s="33"/>
      <c r="IC209" s="33"/>
      <c r="ID209" s="33"/>
      <c r="IE209" s="33"/>
      <c r="IF209" s="33"/>
      <c r="IG209" s="33"/>
      <c r="IH209" s="33"/>
      <c r="II209" s="33"/>
      <c r="IJ209" s="33"/>
      <c r="IK209" s="33"/>
      <c r="IL209" s="33"/>
      <c r="IM209" s="33"/>
    </row>
    <row r="210" spans="1:247" ht="17.25" customHeight="1">
      <c r="A210" s="63" t="str">
        <f t="shared" ca="1" si="59"/>
        <v>4.6</v>
      </c>
      <c r="B210" s="108" t="s">
        <v>143</v>
      </c>
      <c r="C210" s="98"/>
      <c r="D210" s="64"/>
      <c r="E210" s="64"/>
      <c r="F210" s="65"/>
      <c r="G210" s="68"/>
      <c r="H210" s="65">
        <f t="shared" si="52"/>
        <v>0</v>
      </c>
      <c r="I210" s="78">
        <f t="shared" si="56"/>
        <v>0</v>
      </c>
      <c r="J210" s="65">
        <f t="shared" si="57"/>
        <v>0</v>
      </c>
      <c r="K210" s="77">
        <v>100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  <c r="HI210" s="33"/>
      <c r="HJ210" s="33"/>
      <c r="HK210" s="33"/>
      <c r="HL210" s="33"/>
      <c r="HM210" s="33"/>
      <c r="HN210" s="33"/>
      <c r="HO210" s="33"/>
      <c r="HP210" s="33"/>
      <c r="HQ210" s="33"/>
      <c r="HR210" s="33"/>
      <c r="HS210" s="33"/>
      <c r="HT210" s="33"/>
      <c r="HU210" s="33"/>
      <c r="HV210" s="33"/>
      <c r="HW210" s="33"/>
      <c r="HX210" s="33"/>
      <c r="HY210" s="33"/>
      <c r="HZ210" s="33"/>
      <c r="IA210" s="33"/>
      <c r="IB210" s="33"/>
      <c r="IC210" s="33"/>
      <c r="ID210" s="33"/>
      <c r="IE210" s="33"/>
      <c r="IF210" s="33"/>
      <c r="IG210" s="33"/>
      <c r="IH210" s="33"/>
      <c r="II210" s="33"/>
      <c r="IJ210" s="33"/>
      <c r="IK210" s="33"/>
      <c r="IL210" s="33"/>
      <c r="IM210" s="33"/>
    </row>
    <row r="211" spans="1:247" ht="17.25" customHeight="1">
      <c r="A211" s="63" t="str">
        <f t="shared" ca="1" si="59"/>
        <v>4.7</v>
      </c>
      <c r="B211" s="108" t="s">
        <v>144</v>
      </c>
      <c r="C211" s="98"/>
      <c r="D211" s="64"/>
      <c r="E211" s="64"/>
      <c r="F211" s="65"/>
      <c r="G211" s="68"/>
      <c r="H211" s="65">
        <f t="shared" si="52"/>
        <v>0</v>
      </c>
      <c r="I211" s="78">
        <f t="shared" si="56"/>
        <v>0</v>
      </c>
      <c r="J211" s="65">
        <f t="shared" si="57"/>
        <v>0</v>
      </c>
      <c r="K211" s="77">
        <v>100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  <c r="HI211" s="33"/>
      <c r="HJ211" s="33"/>
      <c r="HK211" s="33"/>
      <c r="HL211" s="33"/>
      <c r="HM211" s="33"/>
      <c r="HN211" s="33"/>
      <c r="HO211" s="33"/>
      <c r="HP211" s="33"/>
      <c r="HQ211" s="33"/>
      <c r="HR211" s="33"/>
      <c r="HS211" s="33"/>
      <c r="HT211" s="33"/>
      <c r="HU211" s="33"/>
      <c r="HV211" s="33"/>
      <c r="HW211" s="33"/>
      <c r="HX211" s="33"/>
      <c r="HY211" s="33"/>
      <c r="HZ211" s="33"/>
      <c r="IA211" s="33"/>
      <c r="IB211" s="33"/>
      <c r="IC211" s="33"/>
      <c r="ID211" s="33"/>
      <c r="IE211" s="33"/>
      <c r="IF211" s="33"/>
      <c r="IG211" s="33"/>
      <c r="IH211" s="33"/>
      <c r="II211" s="33"/>
      <c r="IJ211" s="33"/>
      <c r="IK211" s="33"/>
      <c r="IL211" s="33"/>
      <c r="IM211" s="33"/>
    </row>
    <row r="212" spans="1:247" ht="17.25" customHeight="1">
      <c r="A212" s="63" t="str">
        <f t="shared" ca="1" si="59"/>
        <v>4.8</v>
      </c>
      <c r="B212" s="108" t="s">
        <v>145</v>
      </c>
      <c r="C212" s="98"/>
      <c r="D212" s="64"/>
      <c r="E212" s="64"/>
      <c r="F212" s="65"/>
      <c r="G212" s="68"/>
      <c r="H212" s="65">
        <f t="shared" si="52"/>
        <v>0</v>
      </c>
      <c r="I212" s="78">
        <f t="shared" si="56"/>
        <v>0</v>
      </c>
      <c r="J212" s="65">
        <f t="shared" si="57"/>
        <v>0</v>
      </c>
      <c r="K212" s="77">
        <v>100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  <c r="HI212" s="33"/>
      <c r="HJ212" s="33"/>
      <c r="HK212" s="33"/>
      <c r="HL212" s="33"/>
      <c r="HM212" s="33"/>
      <c r="HN212" s="33"/>
      <c r="HO212" s="33"/>
      <c r="HP212" s="33"/>
      <c r="HQ212" s="33"/>
      <c r="HR212" s="33"/>
      <c r="HS212" s="33"/>
      <c r="HT212" s="33"/>
      <c r="HU212" s="33"/>
      <c r="HV212" s="33"/>
      <c r="HW212" s="33"/>
      <c r="HX212" s="33"/>
      <c r="HY212" s="33"/>
      <c r="HZ212" s="33"/>
      <c r="IA212" s="33"/>
      <c r="IB212" s="33"/>
      <c r="IC212" s="33"/>
      <c r="ID212" s="33"/>
      <c r="IE212" s="33"/>
      <c r="IF212" s="33"/>
      <c r="IG212" s="33"/>
      <c r="IH212" s="33"/>
      <c r="II212" s="33"/>
      <c r="IJ212" s="33"/>
      <c r="IK212" s="33"/>
      <c r="IL212" s="33"/>
      <c r="IM212" s="33"/>
    </row>
    <row r="213" spans="1:247" ht="17.25" customHeight="1">
      <c r="A213" s="63" t="str">
        <f t="shared" ca="1" si="59"/>
        <v>4.9</v>
      </c>
      <c r="B213" s="108" t="s">
        <v>146</v>
      </c>
      <c r="C213" s="98"/>
      <c r="D213" s="64"/>
      <c r="E213" s="64"/>
      <c r="F213" s="65"/>
      <c r="G213" s="68"/>
      <c r="H213" s="65">
        <f t="shared" si="52"/>
        <v>0</v>
      </c>
      <c r="I213" s="78">
        <f t="shared" si="56"/>
        <v>0</v>
      </c>
      <c r="J213" s="65">
        <f t="shared" si="57"/>
        <v>0</v>
      </c>
      <c r="K213" s="77">
        <v>100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33"/>
      <c r="HG213" s="33"/>
      <c r="HH213" s="33"/>
      <c r="HI213" s="33"/>
      <c r="HJ213" s="33"/>
      <c r="HK213" s="33"/>
      <c r="HL213" s="33"/>
      <c r="HM213" s="33"/>
      <c r="HN213" s="33"/>
      <c r="HO213" s="33"/>
      <c r="HP213" s="33"/>
      <c r="HQ213" s="33"/>
      <c r="HR213" s="33"/>
      <c r="HS213" s="33"/>
      <c r="HT213" s="33"/>
      <c r="HU213" s="33"/>
      <c r="HV213" s="33"/>
      <c r="HW213" s="33"/>
      <c r="HX213" s="33"/>
      <c r="HY213" s="33"/>
      <c r="HZ213" s="33"/>
      <c r="IA213" s="33"/>
      <c r="IB213" s="33"/>
      <c r="IC213" s="33"/>
      <c r="ID213" s="33"/>
      <c r="IE213" s="33"/>
      <c r="IF213" s="33"/>
      <c r="IG213" s="33"/>
      <c r="IH213" s="33"/>
      <c r="II213" s="33"/>
      <c r="IJ213" s="33"/>
      <c r="IK213" s="33"/>
      <c r="IL213" s="33"/>
      <c r="IM213" s="33"/>
    </row>
    <row r="214" spans="1:247" ht="17.25" customHeight="1">
      <c r="A214" s="59">
        <f ca="1">IF(ISERROR(VALUE(SUBSTITUTE(OFFSET(A214,-1,0,1,1),".",""))),1,IF(ISERROR(FIND("`",SUBSTITUTE(OFFSET(A214,-1,0,1,1),".","`",1))),VALUE(OFFSET(A214,-1,0,1,1))+1,VALUE(LEFT(OFFSET(A214,-1,0,1,1),FIND("`",SUBSTITUTE(OFFSET(A214,-1,0,1,1),".","`",1))-1))+1))</f>
        <v>5</v>
      </c>
      <c r="B214" s="105" t="s">
        <v>148</v>
      </c>
      <c r="C214" s="98" t="s">
        <v>160</v>
      </c>
      <c r="D214" s="64">
        <v>42116</v>
      </c>
      <c r="E214" s="64">
        <f t="shared" ref="E214:E215" si="60">D214+F214-1</f>
        <v>42145</v>
      </c>
      <c r="F214" s="65">
        <v>30</v>
      </c>
      <c r="G214" s="68"/>
      <c r="H214" s="65">
        <f t="shared" si="52"/>
        <v>22</v>
      </c>
      <c r="I214" s="78">
        <f t="shared" si="56"/>
        <v>0</v>
      </c>
      <c r="J214" s="65">
        <f t="shared" si="57"/>
        <v>30</v>
      </c>
      <c r="K214" s="77">
        <v>100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33"/>
      <c r="HG214" s="33"/>
      <c r="HH214" s="33"/>
      <c r="HI214" s="33"/>
      <c r="HJ214" s="33"/>
      <c r="HK214" s="33"/>
      <c r="HL214" s="33"/>
      <c r="HM214" s="33"/>
      <c r="HN214" s="33"/>
      <c r="HO214" s="33"/>
      <c r="HP214" s="33"/>
      <c r="HQ214" s="33"/>
      <c r="HR214" s="33"/>
      <c r="HS214" s="33"/>
      <c r="HT214" s="33"/>
      <c r="HU214" s="33"/>
      <c r="HV214" s="33"/>
      <c r="HW214" s="33"/>
      <c r="HX214" s="33"/>
      <c r="HY214" s="33"/>
      <c r="HZ214" s="33"/>
      <c r="IA214" s="33"/>
      <c r="IB214" s="33"/>
      <c r="IC214" s="33"/>
      <c r="ID214" s="33"/>
      <c r="IE214" s="33"/>
      <c r="IF214" s="33"/>
      <c r="IG214" s="33"/>
      <c r="IH214" s="33"/>
      <c r="II214" s="33"/>
      <c r="IJ214" s="33"/>
      <c r="IK214" s="33"/>
      <c r="IL214" s="33"/>
      <c r="IM214" s="33"/>
    </row>
    <row r="215" spans="1:247" ht="17.25" customHeight="1">
      <c r="A215" s="66" t="str">
        <f ca="1">IF(ISERROR(VALUE(SUBSTITUTE(OFFSET(A215,-1,0,1,1),".",""))),"0.0.1",IF(ISERROR(FIND("`",SUBSTITUTE(OFFSET(A215,-1,0,1,1),".","`",2))),OFFSET(A215,-1,0,1,1)&amp;".1",LEFT(OFFSET(A215,-1,0,1,1),FIND("`",SUBSTITUTE(OFFSET(A215,-1,0,1,1),".","`",2)))&amp;IF(ISERROR(FIND("`",SUBSTITUTE(OFFSET(A215,-1,0,1,1),".","`",3))),VALUE(RIGHT(OFFSET(A215,-1,0,1,1),LEN(OFFSET(A215,-1,0,1,1))-FIND("`",SUBSTITUTE(OFFSET(A215,-1,0,1,1),".","`",2))))+1,VALUE(MID(OFFSET(A215,-1,0,1,1),FIND("`",SUBSTITUTE(OFFSET(A215,-1,0,1,1),".","`",2))+1,(FIND("`",SUBSTITUTE(OFFSET(A215,-1,0,1,1),".","`",3))-FIND("`",SUBSTITUTE(OFFSET(A215,-1,0,1,1),".","`",2))-1)))+1)))</f>
        <v>5.1</v>
      </c>
      <c r="B215" s="107" t="s">
        <v>101</v>
      </c>
      <c r="C215" s="98"/>
      <c r="D215" s="64">
        <v>42116</v>
      </c>
      <c r="E215" s="64">
        <f t="shared" si="60"/>
        <v>42118</v>
      </c>
      <c r="F215" s="65">
        <v>3</v>
      </c>
      <c r="G215" s="68"/>
      <c r="H215" s="65">
        <f t="shared" si="52"/>
        <v>3</v>
      </c>
      <c r="I215" s="78">
        <f t="shared" si="56"/>
        <v>0</v>
      </c>
      <c r="J215" s="65">
        <f t="shared" si="57"/>
        <v>3</v>
      </c>
      <c r="K215" s="77">
        <v>100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  <c r="HI215" s="33"/>
      <c r="HJ215" s="33"/>
      <c r="HK215" s="33"/>
      <c r="HL215" s="33"/>
      <c r="HM215" s="33"/>
      <c r="HN215" s="33"/>
      <c r="HO215" s="33"/>
      <c r="HP215" s="33"/>
      <c r="HQ215" s="33"/>
      <c r="HR215" s="33"/>
      <c r="HS215" s="33"/>
      <c r="HT215" s="33"/>
      <c r="HU215" s="33"/>
      <c r="HV215" s="33"/>
      <c r="HW215" s="33"/>
      <c r="HX215" s="33"/>
      <c r="HY215" s="33"/>
      <c r="HZ215" s="33"/>
      <c r="IA215" s="33"/>
      <c r="IB215" s="33"/>
      <c r="IC215" s="33"/>
      <c r="ID215" s="33"/>
      <c r="IE215" s="33"/>
      <c r="IF215" s="33"/>
      <c r="IG215" s="33"/>
      <c r="IH215" s="33"/>
      <c r="II215" s="33"/>
      <c r="IJ215" s="33"/>
      <c r="IK215" s="33"/>
      <c r="IL215" s="33"/>
      <c r="IM215" s="33"/>
    </row>
    <row r="216" spans="1:247" ht="17.25" customHeight="1">
      <c r="A216" s="66" t="str">
        <f t="shared" ref="A216:A251" ca="1" si="61">IF(ISERROR(VALUE(SUBSTITUTE(OFFSET(A216,-1,0,1,1),".",""))),"0.0.1",IF(ISERROR(FIND("`",SUBSTITUTE(OFFSET(A216,-1,0,1,1),".","`",2))),OFFSET(A216,-1,0,1,1)&amp;".1",LEFT(OFFSET(A216,-1,0,1,1),FIND("`",SUBSTITUTE(OFFSET(A216,-1,0,1,1),".","`",2)))&amp;IF(ISERROR(FIND("`",SUBSTITUTE(OFFSET(A216,-1,0,1,1),".","`",3))),VALUE(RIGHT(OFFSET(A216,-1,0,1,1),LEN(OFFSET(A216,-1,0,1,1))-FIND("`",SUBSTITUTE(OFFSET(A216,-1,0,1,1),".","`",2))))+1,VALUE(MID(OFFSET(A216,-1,0,1,1),FIND("`",SUBSTITUTE(OFFSET(A216,-1,0,1,1),".","`",2))+1,(FIND("`",SUBSTITUTE(OFFSET(A216,-1,0,1,1),".","`",3))-FIND("`",SUBSTITUTE(OFFSET(A216,-1,0,1,1),".","`",2))-1)))+1)))</f>
        <v>5.1.1</v>
      </c>
      <c r="B216" s="109" t="s">
        <v>102</v>
      </c>
      <c r="C216" s="98"/>
      <c r="D216" s="64"/>
      <c r="E216" s="64"/>
      <c r="F216" s="65"/>
      <c r="G216" s="68"/>
      <c r="H216" s="65">
        <f t="shared" si="52"/>
        <v>0</v>
      </c>
      <c r="I216" s="78">
        <f t="shared" si="56"/>
        <v>0</v>
      </c>
      <c r="J216" s="65">
        <f t="shared" si="57"/>
        <v>0</v>
      </c>
      <c r="K216" s="77">
        <v>100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  <c r="HI216" s="33"/>
      <c r="HJ216" s="33"/>
      <c r="HK216" s="33"/>
      <c r="HL216" s="33"/>
      <c r="HM216" s="33"/>
      <c r="HN216" s="33"/>
      <c r="HO216" s="33"/>
      <c r="HP216" s="33"/>
      <c r="HQ216" s="33"/>
      <c r="HR216" s="33"/>
      <c r="HS216" s="33"/>
      <c r="HT216" s="33"/>
      <c r="HU216" s="33"/>
      <c r="HV216" s="33"/>
      <c r="HW216" s="33"/>
      <c r="HX216" s="33"/>
      <c r="HY216" s="33"/>
      <c r="HZ216" s="33"/>
      <c r="IA216" s="33"/>
      <c r="IB216" s="33"/>
      <c r="IC216" s="33"/>
      <c r="ID216" s="33"/>
      <c r="IE216" s="33"/>
      <c r="IF216" s="33"/>
      <c r="IG216" s="33"/>
      <c r="IH216" s="33"/>
      <c r="II216" s="33"/>
      <c r="IJ216" s="33"/>
      <c r="IK216" s="33"/>
      <c r="IL216" s="33"/>
      <c r="IM216" s="33"/>
    </row>
    <row r="217" spans="1:247" ht="17.25" customHeight="1">
      <c r="A217" s="66" t="str">
        <f t="shared" ca="1" si="61"/>
        <v>5.1.2</v>
      </c>
      <c r="B217" s="110" t="s">
        <v>103</v>
      </c>
      <c r="C217" s="98"/>
      <c r="D217" s="64"/>
      <c r="E217" s="64"/>
      <c r="F217" s="65"/>
      <c r="G217" s="68"/>
      <c r="H217" s="65">
        <f t="shared" ref="G217:H287" si="62">NETWORKDAYS(D217,E217)</f>
        <v>0</v>
      </c>
      <c r="I217" s="78">
        <f t="shared" si="56"/>
        <v>0</v>
      </c>
      <c r="J217" s="65">
        <f t="shared" si="57"/>
        <v>0</v>
      </c>
      <c r="K217" s="77">
        <v>100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  <c r="HI217" s="33"/>
      <c r="HJ217" s="33"/>
      <c r="HK217" s="33"/>
      <c r="HL217" s="33"/>
      <c r="HM217" s="33"/>
      <c r="HN217" s="33"/>
      <c r="HO217" s="33"/>
      <c r="HP217" s="33"/>
      <c r="HQ217" s="33"/>
      <c r="HR217" s="33"/>
      <c r="HS217" s="33"/>
      <c r="HT217" s="33"/>
      <c r="HU217" s="33"/>
      <c r="HV217" s="33"/>
      <c r="HW217" s="33"/>
      <c r="HX217" s="33"/>
      <c r="HY217" s="33"/>
      <c r="HZ217" s="33"/>
      <c r="IA217" s="33"/>
      <c r="IB217" s="33"/>
      <c r="IC217" s="33"/>
      <c r="ID217" s="33"/>
      <c r="IE217" s="33"/>
      <c r="IF217" s="33"/>
      <c r="IG217" s="33"/>
      <c r="IH217" s="33"/>
      <c r="II217" s="33"/>
      <c r="IJ217" s="33"/>
      <c r="IK217" s="33"/>
      <c r="IL217" s="33"/>
      <c r="IM217" s="33"/>
    </row>
    <row r="218" spans="1:247" ht="17.25" customHeight="1">
      <c r="A218" s="66" t="str">
        <f t="shared" ca="1" si="61"/>
        <v>5.1.3</v>
      </c>
      <c r="B218" s="110" t="s">
        <v>104</v>
      </c>
      <c r="C218" s="98"/>
      <c r="D218" s="64"/>
      <c r="E218" s="64"/>
      <c r="F218" s="65"/>
      <c r="G218" s="68"/>
      <c r="H218" s="65">
        <f t="shared" si="62"/>
        <v>0</v>
      </c>
      <c r="I218" s="78">
        <f t="shared" si="56"/>
        <v>0</v>
      </c>
      <c r="J218" s="65">
        <f t="shared" si="57"/>
        <v>0</v>
      </c>
      <c r="K218" s="77">
        <v>100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  <c r="HI218" s="33"/>
      <c r="HJ218" s="33"/>
      <c r="HK218" s="33"/>
      <c r="HL218" s="33"/>
      <c r="HM218" s="33"/>
      <c r="HN218" s="33"/>
      <c r="HO218" s="33"/>
      <c r="HP218" s="33"/>
      <c r="HQ218" s="33"/>
      <c r="HR218" s="33"/>
      <c r="HS218" s="33"/>
      <c r="HT218" s="33"/>
      <c r="HU218" s="33"/>
      <c r="HV218" s="33"/>
      <c r="HW218" s="33"/>
      <c r="HX218" s="33"/>
      <c r="HY218" s="33"/>
      <c r="HZ218" s="33"/>
      <c r="IA218" s="33"/>
      <c r="IB218" s="33"/>
      <c r="IC218" s="33"/>
      <c r="ID218" s="33"/>
      <c r="IE218" s="33"/>
      <c r="IF218" s="33"/>
      <c r="IG218" s="33"/>
      <c r="IH218" s="33"/>
      <c r="II218" s="33"/>
      <c r="IJ218" s="33"/>
      <c r="IK218" s="33"/>
      <c r="IL218" s="33"/>
      <c r="IM218" s="33"/>
    </row>
    <row r="219" spans="1:247" ht="17.25" customHeight="1">
      <c r="A219" s="66" t="str">
        <f t="shared" ca="1" si="61"/>
        <v>5.1.4</v>
      </c>
      <c r="B219" s="110" t="s">
        <v>106</v>
      </c>
      <c r="C219" s="98"/>
      <c r="D219" s="64"/>
      <c r="E219" s="64"/>
      <c r="F219" s="65"/>
      <c r="G219" s="68"/>
      <c r="H219" s="65">
        <f t="shared" si="62"/>
        <v>0</v>
      </c>
      <c r="I219" s="78">
        <f t="shared" si="56"/>
        <v>0</v>
      </c>
      <c r="J219" s="65">
        <f t="shared" si="57"/>
        <v>0</v>
      </c>
      <c r="K219" s="77">
        <v>100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  <c r="HI219" s="33"/>
      <c r="HJ219" s="33"/>
      <c r="HK219" s="33"/>
      <c r="HL219" s="33"/>
      <c r="HM219" s="33"/>
      <c r="HN219" s="33"/>
      <c r="HO219" s="33"/>
      <c r="HP219" s="33"/>
      <c r="HQ219" s="33"/>
      <c r="HR219" s="33"/>
      <c r="HS219" s="33"/>
      <c r="HT219" s="33"/>
      <c r="HU219" s="33"/>
      <c r="HV219" s="33"/>
      <c r="HW219" s="33"/>
      <c r="HX219" s="33"/>
      <c r="HY219" s="33"/>
      <c r="HZ219" s="33"/>
      <c r="IA219" s="33"/>
      <c r="IB219" s="33"/>
      <c r="IC219" s="33"/>
      <c r="ID219" s="33"/>
      <c r="IE219" s="33"/>
      <c r="IF219" s="33"/>
      <c r="IG219" s="33"/>
      <c r="IH219" s="33"/>
      <c r="II219" s="33"/>
      <c r="IJ219" s="33"/>
      <c r="IK219" s="33"/>
      <c r="IL219" s="33"/>
      <c r="IM219" s="33"/>
    </row>
    <row r="220" spans="1:247" ht="17.25" customHeight="1">
      <c r="A220" s="63" t="str">
        <f ca="1">IF(ISERROR(VALUE(SUBSTITUTE(OFFSET(A220,-1,0,1,1),".",""))),"0.1",IF(ISERROR(FIND("`",SUBSTITUTE(OFFSET(A220,-1,0,1,1),".","`",1))),OFFSET(A220,-1,0,1,1)&amp;".1",LEFT(OFFSET(A220,-1,0,1,1),FIND("`",SUBSTITUTE(OFFSET(A220,-1,0,1,1),".","`",1)))&amp;IF(ISERROR(FIND("`",SUBSTITUTE(OFFSET(A220,-1,0,1,1),".","`",2))),VALUE(RIGHT(OFFSET(A220,-1,0,1,1),LEN(OFFSET(A220,-1,0,1,1))-FIND("`",SUBSTITUTE(OFFSET(A220,-1,0,1,1),".","`",1))))+1,VALUE(MID(OFFSET(A220,-1,0,1,1),FIND("`",SUBSTITUTE(OFFSET(A220,-1,0,1,1),".","`",1))+1,(FIND("`",SUBSTITUTE(OFFSET(A220,-1,0,1,1),".","`",2))-FIND("`",SUBSTITUTE(OFFSET(A220,-1,0,1,1),".","`",1))-1)))+1)))</f>
        <v>5.2</v>
      </c>
      <c r="B220" s="107" t="s">
        <v>105</v>
      </c>
      <c r="C220" s="98"/>
      <c r="D220" s="64">
        <v>42120</v>
      </c>
      <c r="E220" s="64">
        <f t="shared" ref="E220" si="63">D220+F220-1</f>
        <v>42145</v>
      </c>
      <c r="F220" s="65">
        <v>26</v>
      </c>
      <c r="G220" s="68"/>
      <c r="H220" s="65">
        <f t="shared" si="62"/>
        <v>19</v>
      </c>
      <c r="I220" s="78">
        <f t="shared" si="56"/>
        <v>0</v>
      </c>
      <c r="J220" s="65">
        <f t="shared" si="57"/>
        <v>26</v>
      </c>
      <c r="K220" s="77">
        <v>100</v>
      </c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  <c r="HO220" s="33"/>
      <c r="HP220" s="33"/>
      <c r="HQ220" s="33"/>
      <c r="HR220" s="33"/>
      <c r="HS220" s="33"/>
      <c r="HT220" s="33"/>
      <c r="HU220" s="33"/>
      <c r="HV220" s="33"/>
      <c r="HW220" s="33"/>
      <c r="HX220" s="33"/>
      <c r="HY220" s="33"/>
      <c r="HZ220" s="33"/>
      <c r="IA220" s="33"/>
      <c r="IB220" s="33"/>
      <c r="IC220" s="33"/>
      <c r="ID220" s="33"/>
      <c r="IE220" s="33"/>
      <c r="IF220" s="33"/>
      <c r="IG220" s="33"/>
      <c r="IH220" s="33"/>
      <c r="II220" s="33"/>
      <c r="IJ220" s="33"/>
      <c r="IK220" s="33"/>
      <c r="IL220" s="33"/>
      <c r="IM220" s="33"/>
    </row>
    <row r="221" spans="1:247" ht="17.25" customHeight="1">
      <c r="A221" s="66" t="str">
        <f t="shared" ca="1" si="61"/>
        <v>5.2.1</v>
      </c>
      <c r="B221" s="110" t="s">
        <v>107</v>
      </c>
      <c r="C221" s="98"/>
      <c r="D221" s="64"/>
      <c r="E221" s="64"/>
      <c r="F221" s="65"/>
      <c r="G221" s="68"/>
      <c r="H221" s="65">
        <f t="shared" si="62"/>
        <v>0</v>
      </c>
      <c r="I221" s="78">
        <f t="shared" si="56"/>
        <v>0</v>
      </c>
      <c r="J221" s="65">
        <f t="shared" si="57"/>
        <v>0</v>
      </c>
      <c r="K221" s="77">
        <v>100</v>
      </c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  <c r="HI221" s="33"/>
      <c r="HJ221" s="33"/>
      <c r="HK221" s="33"/>
      <c r="HL221" s="33"/>
      <c r="HM221" s="33"/>
      <c r="HN221" s="33"/>
      <c r="HO221" s="33"/>
      <c r="HP221" s="33"/>
      <c r="HQ221" s="33"/>
      <c r="HR221" s="33"/>
      <c r="HS221" s="33"/>
      <c r="HT221" s="33"/>
      <c r="HU221" s="33"/>
      <c r="HV221" s="33"/>
      <c r="HW221" s="33"/>
      <c r="HX221" s="33"/>
      <c r="HY221" s="33"/>
      <c r="HZ221" s="33"/>
      <c r="IA221" s="33"/>
      <c r="IB221" s="33"/>
      <c r="IC221" s="33"/>
      <c r="ID221" s="33"/>
      <c r="IE221" s="33"/>
      <c r="IF221" s="33"/>
      <c r="IG221" s="33"/>
      <c r="IH221" s="33"/>
      <c r="II221" s="33"/>
      <c r="IJ221" s="33"/>
      <c r="IK221" s="33"/>
      <c r="IL221" s="33"/>
      <c r="IM221" s="33"/>
    </row>
    <row r="222" spans="1:247" ht="17.25" customHeight="1">
      <c r="A222" s="66" t="str">
        <f t="shared" ca="1" si="61"/>
        <v>5.2.2</v>
      </c>
      <c r="B222" s="110" t="s">
        <v>108</v>
      </c>
      <c r="C222" s="98"/>
      <c r="D222" s="64"/>
      <c r="E222" s="64"/>
      <c r="F222" s="65"/>
      <c r="G222" s="68"/>
      <c r="H222" s="65">
        <f t="shared" si="62"/>
        <v>0</v>
      </c>
      <c r="I222" s="78">
        <f t="shared" si="56"/>
        <v>0</v>
      </c>
      <c r="J222" s="65">
        <f t="shared" si="57"/>
        <v>0</v>
      </c>
      <c r="K222" s="77">
        <v>100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  <c r="HI222" s="33"/>
      <c r="HJ222" s="33"/>
      <c r="HK222" s="33"/>
      <c r="HL222" s="33"/>
      <c r="HM222" s="33"/>
      <c r="HN222" s="33"/>
      <c r="HO222" s="33"/>
      <c r="HP222" s="33"/>
      <c r="HQ222" s="33"/>
      <c r="HR222" s="33"/>
      <c r="HS222" s="33"/>
      <c r="HT222" s="33"/>
      <c r="HU222" s="33"/>
      <c r="HV222" s="33"/>
      <c r="HW222" s="33"/>
      <c r="HX222" s="33"/>
      <c r="HY222" s="33"/>
      <c r="HZ222" s="33"/>
      <c r="IA222" s="33"/>
      <c r="IB222" s="33"/>
      <c r="IC222" s="33"/>
      <c r="ID222" s="33"/>
      <c r="IE222" s="33"/>
      <c r="IF222" s="33"/>
      <c r="IG222" s="33"/>
      <c r="IH222" s="33"/>
      <c r="II222" s="33"/>
      <c r="IJ222" s="33"/>
      <c r="IK222" s="33"/>
      <c r="IL222" s="33"/>
      <c r="IM222" s="33"/>
    </row>
    <row r="223" spans="1:247" ht="17.25" customHeight="1">
      <c r="A223" s="66" t="str">
        <f t="shared" ca="1" si="61"/>
        <v>5.2.3</v>
      </c>
      <c r="B223" s="110" t="s">
        <v>109</v>
      </c>
      <c r="C223" s="98"/>
      <c r="D223" s="64"/>
      <c r="E223" s="64"/>
      <c r="F223" s="65"/>
      <c r="G223" s="68"/>
      <c r="H223" s="65">
        <f t="shared" si="62"/>
        <v>0</v>
      </c>
      <c r="I223" s="78">
        <f t="shared" ref="I223:I258" si="64">ROUNDDOWN(G223*F223,0)</f>
        <v>0</v>
      </c>
      <c r="J223" s="65">
        <f t="shared" ref="J223:J254" si="65">F223-I223</f>
        <v>0</v>
      </c>
      <c r="K223" s="77">
        <v>100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  <c r="HI223" s="33"/>
      <c r="HJ223" s="33"/>
      <c r="HK223" s="33"/>
      <c r="HL223" s="33"/>
      <c r="HM223" s="33"/>
      <c r="HN223" s="33"/>
      <c r="HO223" s="33"/>
      <c r="HP223" s="33"/>
      <c r="HQ223" s="33"/>
      <c r="HR223" s="33"/>
      <c r="HS223" s="33"/>
      <c r="HT223" s="33"/>
      <c r="HU223" s="33"/>
      <c r="HV223" s="33"/>
      <c r="HW223" s="33"/>
      <c r="HX223" s="33"/>
      <c r="HY223" s="33"/>
      <c r="HZ223" s="33"/>
      <c r="IA223" s="33"/>
      <c r="IB223" s="33"/>
      <c r="IC223" s="33"/>
      <c r="ID223" s="33"/>
      <c r="IE223" s="33"/>
      <c r="IF223" s="33"/>
      <c r="IG223" s="33"/>
      <c r="IH223" s="33"/>
      <c r="II223" s="33"/>
      <c r="IJ223" s="33"/>
      <c r="IK223" s="33"/>
      <c r="IL223" s="33"/>
      <c r="IM223" s="33"/>
    </row>
    <row r="224" spans="1:247" ht="17.25" customHeight="1">
      <c r="A224" s="66" t="str">
        <f t="shared" ca="1" si="61"/>
        <v>5.2.4</v>
      </c>
      <c r="B224" s="110" t="s">
        <v>110</v>
      </c>
      <c r="C224" s="98"/>
      <c r="D224" s="64"/>
      <c r="E224" s="64"/>
      <c r="F224" s="65"/>
      <c r="G224" s="68"/>
      <c r="H224" s="65">
        <f t="shared" si="62"/>
        <v>0</v>
      </c>
      <c r="I224" s="78">
        <f t="shared" si="64"/>
        <v>0</v>
      </c>
      <c r="J224" s="65">
        <f t="shared" si="65"/>
        <v>0</v>
      </c>
      <c r="K224" s="77">
        <v>100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  <c r="HI224" s="33"/>
      <c r="HJ224" s="33"/>
      <c r="HK224" s="33"/>
      <c r="HL224" s="33"/>
      <c r="HM224" s="33"/>
      <c r="HN224" s="33"/>
      <c r="HO224" s="33"/>
      <c r="HP224" s="33"/>
      <c r="HQ224" s="33"/>
      <c r="HR224" s="33"/>
      <c r="HS224" s="33"/>
      <c r="HT224" s="33"/>
      <c r="HU224" s="33"/>
      <c r="HV224" s="33"/>
      <c r="HW224" s="33"/>
      <c r="HX224" s="33"/>
      <c r="HY224" s="33"/>
      <c r="HZ224" s="33"/>
      <c r="IA224" s="33"/>
      <c r="IB224" s="33"/>
      <c r="IC224" s="33"/>
      <c r="ID224" s="33"/>
      <c r="IE224" s="33"/>
      <c r="IF224" s="33"/>
      <c r="IG224" s="33"/>
      <c r="IH224" s="33"/>
      <c r="II224" s="33"/>
      <c r="IJ224" s="33"/>
      <c r="IK224" s="33"/>
      <c r="IL224" s="33"/>
      <c r="IM224" s="33"/>
    </row>
    <row r="225" spans="1:247" ht="17.25" customHeight="1">
      <c r="A225" s="66" t="str">
        <f t="shared" ca="1" si="61"/>
        <v>5.2.5</v>
      </c>
      <c r="B225" s="110" t="s">
        <v>111</v>
      </c>
      <c r="C225" s="98"/>
      <c r="D225" s="64"/>
      <c r="E225" s="64"/>
      <c r="F225" s="65"/>
      <c r="G225" s="68"/>
      <c r="H225" s="65">
        <f t="shared" si="62"/>
        <v>0</v>
      </c>
      <c r="I225" s="78">
        <f t="shared" si="64"/>
        <v>0</v>
      </c>
      <c r="J225" s="65">
        <f t="shared" si="65"/>
        <v>0</v>
      </c>
      <c r="K225" s="77">
        <v>100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33"/>
      <c r="HG225" s="33"/>
      <c r="HH225" s="33"/>
      <c r="HI225" s="33"/>
      <c r="HJ225" s="33"/>
      <c r="HK225" s="33"/>
      <c r="HL225" s="33"/>
      <c r="HM225" s="33"/>
      <c r="HN225" s="33"/>
      <c r="HO225" s="33"/>
      <c r="HP225" s="33"/>
      <c r="HQ225" s="33"/>
      <c r="HR225" s="33"/>
      <c r="HS225" s="33"/>
      <c r="HT225" s="33"/>
      <c r="HU225" s="33"/>
      <c r="HV225" s="33"/>
      <c r="HW225" s="33"/>
      <c r="HX225" s="33"/>
      <c r="HY225" s="33"/>
      <c r="HZ225" s="33"/>
      <c r="IA225" s="33"/>
      <c r="IB225" s="33"/>
      <c r="IC225" s="33"/>
      <c r="ID225" s="33"/>
      <c r="IE225" s="33"/>
      <c r="IF225" s="33"/>
      <c r="IG225" s="33"/>
      <c r="IH225" s="33"/>
      <c r="II225" s="33"/>
      <c r="IJ225" s="33"/>
      <c r="IK225" s="33"/>
      <c r="IL225" s="33"/>
      <c r="IM225" s="33"/>
    </row>
    <row r="226" spans="1:247" ht="17.25" customHeight="1">
      <c r="A226" s="66" t="str">
        <f t="shared" ca="1" si="61"/>
        <v>5.2.6</v>
      </c>
      <c r="B226" s="110" t="s">
        <v>112</v>
      </c>
      <c r="C226" s="98"/>
      <c r="D226" s="64"/>
      <c r="E226" s="64"/>
      <c r="F226" s="65"/>
      <c r="G226" s="68"/>
      <c r="H226" s="65">
        <f t="shared" si="62"/>
        <v>0</v>
      </c>
      <c r="I226" s="78">
        <f t="shared" si="64"/>
        <v>0</v>
      </c>
      <c r="J226" s="65">
        <f t="shared" si="65"/>
        <v>0</v>
      </c>
      <c r="K226" s="77">
        <v>100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33"/>
      <c r="HG226" s="33"/>
      <c r="HH226" s="33"/>
      <c r="HI226" s="33"/>
      <c r="HJ226" s="33"/>
      <c r="HK226" s="33"/>
      <c r="HL226" s="33"/>
      <c r="HM226" s="33"/>
      <c r="HN226" s="33"/>
      <c r="HO226" s="33"/>
      <c r="HP226" s="33"/>
      <c r="HQ226" s="33"/>
      <c r="HR226" s="33"/>
      <c r="HS226" s="33"/>
      <c r="HT226" s="33"/>
      <c r="HU226" s="33"/>
      <c r="HV226" s="33"/>
      <c r="HW226" s="33"/>
      <c r="HX226" s="33"/>
      <c r="HY226" s="33"/>
      <c r="HZ226" s="33"/>
      <c r="IA226" s="33"/>
      <c r="IB226" s="33"/>
      <c r="IC226" s="33"/>
      <c r="ID226" s="33"/>
      <c r="IE226" s="33"/>
      <c r="IF226" s="33"/>
      <c r="IG226" s="33"/>
      <c r="IH226" s="33"/>
      <c r="II226" s="33"/>
      <c r="IJ226" s="33"/>
      <c r="IK226" s="33"/>
      <c r="IL226" s="33"/>
      <c r="IM226" s="33"/>
    </row>
    <row r="227" spans="1:247" ht="17.25" customHeight="1">
      <c r="A227" s="66" t="str">
        <f t="shared" ca="1" si="61"/>
        <v>5.2.7</v>
      </c>
      <c r="B227" s="110" t="s">
        <v>113</v>
      </c>
      <c r="C227" s="98"/>
      <c r="D227" s="64"/>
      <c r="E227" s="64"/>
      <c r="F227" s="65"/>
      <c r="G227" s="68"/>
      <c r="H227" s="65">
        <f t="shared" si="62"/>
        <v>0</v>
      </c>
      <c r="I227" s="78">
        <f t="shared" si="64"/>
        <v>0</v>
      </c>
      <c r="J227" s="65">
        <f t="shared" si="65"/>
        <v>0</v>
      </c>
      <c r="K227" s="77">
        <v>100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  <c r="HI227" s="33"/>
      <c r="HJ227" s="33"/>
      <c r="HK227" s="33"/>
      <c r="HL227" s="33"/>
      <c r="HM227" s="33"/>
      <c r="HN227" s="33"/>
      <c r="HO227" s="33"/>
      <c r="HP227" s="33"/>
      <c r="HQ227" s="33"/>
      <c r="HR227" s="33"/>
      <c r="HS227" s="33"/>
      <c r="HT227" s="33"/>
      <c r="HU227" s="33"/>
      <c r="HV227" s="33"/>
      <c r="HW227" s="33"/>
      <c r="HX227" s="33"/>
      <c r="HY227" s="33"/>
      <c r="HZ227" s="33"/>
      <c r="IA227" s="33"/>
      <c r="IB227" s="33"/>
      <c r="IC227" s="33"/>
      <c r="ID227" s="33"/>
      <c r="IE227" s="33"/>
      <c r="IF227" s="33"/>
      <c r="IG227" s="33"/>
      <c r="IH227" s="33"/>
      <c r="II227" s="33"/>
      <c r="IJ227" s="33"/>
      <c r="IK227" s="33"/>
      <c r="IL227" s="33"/>
      <c r="IM227" s="33"/>
    </row>
    <row r="228" spans="1:247" ht="17.25" customHeight="1">
      <c r="A228" s="63" t="str">
        <f ca="1">IF(ISERROR(VALUE(SUBSTITUTE(OFFSET(A228,-1,0,1,1),".",""))),"0.1",IF(ISERROR(FIND("`",SUBSTITUTE(OFFSET(A228,-1,0,1,1),".","`",1))),OFFSET(A228,-1,0,1,1)&amp;".1",LEFT(OFFSET(A228,-1,0,1,1),FIND("`",SUBSTITUTE(OFFSET(A228,-1,0,1,1),".","`",1)))&amp;IF(ISERROR(FIND("`",SUBSTITUTE(OFFSET(A228,-1,0,1,1),".","`",2))),VALUE(RIGHT(OFFSET(A228,-1,0,1,1),LEN(OFFSET(A228,-1,0,1,1))-FIND("`",SUBSTITUTE(OFFSET(A228,-1,0,1,1),".","`",1))))+1,VALUE(MID(OFFSET(A228,-1,0,1,1),FIND("`",SUBSTITUTE(OFFSET(A228,-1,0,1,1),".","`",1))+1,(FIND("`",SUBSTITUTE(OFFSET(A228,-1,0,1,1),".","`",2))-FIND("`",SUBSTITUTE(OFFSET(A228,-1,0,1,1),".","`",1))-1)))+1)))</f>
        <v>5.3</v>
      </c>
      <c r="B228" s="108" t="s">
        <v>114</v>
      </c>
      <c r="C228" s="98"/>
      <c r="D228" s="64">
        <v>42120</v>
      </c>
      <c r="E228" s="64">
        <f t="shared" ref="E228" si="66">D228+F228-1</f>
        <v>42145</v>
      </c>
      <c r="F228" s="65">
        <v>26</v>
      </c>
      <c r="G228" s="68"/>
      <c r="H228" s="65">
        <f t="shared" si="62"/>
        <v>19</v>
      </c>
      <c r="I228" s="78">
        <f t="shared" si="64"/>
        <v>0</v>
      </c>
      <c r="J228" s="65">
        <f t="shared" si="65"/>
        <v>26</v>
      </c>
      <c r="K228" s="77">
        <v>100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  <c r="HI228" s="33"/>
      <c r="HJ228" s="33"/>
      <c r="HK228" s="33"/>
      <c r="HL228" s="33"/>
      <c r="HM228" s="33"/>
      <c r="HN228" s="33"/>
      <c r="HO228" s="33"/>
      <c r="HP228" s="33"/>
      <c r="HQ228" s="33"/>
      <c r="HR228" s="33"/>
      <c r="HS228" s="33"/>
      <c r="HT228" s="33"/>
      <c r="HU228" s="33"/>
      <c r="HV228" s="33"/>
      <c r="HW228" s="33"/>
      <c r="HX228" s="33"/>
      <c r="HY228" s="33"/>
      <c r="HZ228" s="33"/>
      <c r="IA228" s="33"/>
      <c r="IB228" s="33"/>
      <c r="IC228" s="33"/>
      <c r="ID228" s="33"/>
      <c r="IE228" s="33"/>
      <c r="IF228" s="33"/>
      <c r="IG228" s="33"/>
      <c r="IH228" s="33"/>
      <c r="II228" s="33"/>
      <c r="IJ228" s="33"/>
      <c r="IK228" s="33"/>
      <c r="IL228" s="33"/>
      <c r="IM228" s="33"/>
    </row>
    <row r="229" spans="1:247" ht="17.25" customHeight="1">
      <c r="A229" s="66" t="str">
        <f t="shared" ca="1" si="61"/>
        <v>5.3.1</v>
      </c>
      <c r="B229" s="110" t="s">
        <v>115</v>
      </c>
      <c r="C229" s="98"/>
      <c r="D229" s="64"/>
      <c r="E229" s="64"/>
      <c r="F229" s="65"/>
      <c r="G229" s="68"/>
      <c r="H229" s="65">
        <f t="shared" si="62"/>
        <v>0</v>
      </c>
      <c r="I229" s="78">
        <f t="shared" si="64"/>
        <v>0</v>
      </c>
      <c r="J229" s="65">
        <f t="shared" si="65"/>
        <v>0</v>
      </c>
      <c r="K229" s="77">
        <v>100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  <c r="HI229" s="33"/>
      <c r="HJ229" s="33"/>
      <c r="HK229" s="33"/>
      <c r="HL229" s="33"/>
      <c r="HM229" s="33"/>
      <c r="HN229" s="33"/>
      <c r="HO229" s="33"/>
      <c r="HP229" s="33"/>
      <c r="HQ229" s="33"/>
      <c r="HR229" s="33"/>
      <c r="HS229" s="33"/>
      <c r="HT229" s="33"/>
      <c r="HU229" s="33"/>
      <c r="HV229" s="33"/>
      <c r="HW229" s="33"/>
      <c r="HX229" s="33"/>
      <c r="HY229" s="33"/>
      <c r="HZ229" s="33"/>
      <c r="IA229" s="33"/>
      <c r="IB229" s="33"/>
      <c r="IC229" s="33"/>
      <c r="ID229" s="33"/>
      <c r="IE229" s="33"/>
      <c r="IF229" s="33"/>
      <c r="IG229" s="33"/>
      <c r="IH229" s="33"/>
      <c r="II229" s="33"/>
      <c r="IJ229" s="33"/>
      <c r="IK229" s="33"/>
      <c r="IL229" s="33"/>
      <c r="IM229" s="33"/>
    </row>
    <row r="230" spans="1:247" ht="17.25" customHeight="1">
      <c r="A230" s="66" t="str">
        <f t="shared" ca="1" si="61"/>
        <v>5.3.2</v>
      </c>
      <c r="B230" s="110" t="s">
        <v>116</v>
      </c>
      <c r="C230" s="98"/>
      <c r="D230" s="64"/>
      <c r="E230" s="64"/>
      <c r="F230" s="65"/>
      <c r="G230" s="68"/>
      <c r="H230" s="65">
        <f t="shared" si="62"/>
        <v>0</v>
      </c>
      <c r="I230" s="78">
        <f t="shared" si="64"/>
        <v>0</v>
      </c>
      <c r="J230" s="65">
        <f t="shared" si="65"/>
        <v>0</v>
      </c>
      <c r="K230" s="77">
        <v>100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  <c r="HI230" s="33"/>
      <c r="HJ230" s="33"/>
      <c r="HK230" s="33"/>
      <c r="HL230" s="33"/>
      <c r="HM230" s="33"/>
      <c r="HN230" s="33"/>
      <c r="HO230" s="33"/>
      <c r="HP230" s="33"/>
      <c r="HQ230" s="33"/>
      <c r="HR230" s="33"/>
      <c r="HS230" s="33"/>
      <c r="HT230" s="33"/>
      <c r="HU230" s="33"/>
      <c r="HV230" s="33"/>
      <c r="HW230" s="33"/>
      <c r="HX230" s="33"/>
      <c r="HY230" s="33"/>
      <c r="HZ230" s="33"/>
      <c r="IA230" s="33"/>
      <c r="IB230" s="33"/>
      <c r="IC230" s="33"/>
      <c r="ID230" s="33"/>
      <c r="IE230" s="33"/>
      <c r="IF230" s="33"/>
      <c r="IG230" s="33"/>
      <c r="IH230" s="33"/>
      <c r="II230" s="33"/>
      <c r="IJ230" s="33"/>
      <c r="IK230" s="33"/>
      <c r="IL230" s="33"/>
      <c r="IM230" s="33"/>
    </row>
    <row r="231" spans="1:247" ht="17.25" customHeight="1">
      <c r="A231" s="66" t="str">
        <f t="shared" ca="1" si="61"/>
        <v>5.3.3</v>
      </c>
      <c r="B231" s="110" t="s">
        <v>117</v>
      </c>
      <c r="C231" s="98"/>
      <c r="D231" s="64"/>
      <c r="E231" s="64"/>
      <c r="F231" s="65"/>
      <c r="G231" s="68"/>
      <c r="H231" s="65">
        <f t="shared" si="62"/>
        <v>0</v>
      </c>
      <c r="I231" s="78">
        <f t="shared" si="64"/>
        <v>0</v>
      </c>
      <c r="J231" s="65">
        <f t="shared" si="65"/>
        <v>0</v>
      </c>
      <c r="K231" s="77">
        <v>100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  <c r="HI231" s="33"/>
      <c r="HJ231" s="33"/>
      <c r="HK231" s="33"/>
      <c r="HL231" s="33"/>
      <c r="HM231" s="33"/>
      <c r="HN231" s="33"/>
      <c r="HO231" s="33"/>
      <c r="HP231" s="33"/>
      <c r="HQ231" s="33"/>
      <c r="HR231" s="33"/>
      <c r="HS231" s="33"/>
      <c r="HT231" s="33"/>
      <c r="HU231" s="33"/>
      <c r="HV231" s="33"/>
      <c r="HW231" s="33"/>
      <c r="HX231" s="33"/>
      <c r="HY231" s="33"/>
      <c r="HZ231" s="33"/>
      <c r="IA231" s="33"/>
      <c r="IB231" s="33"/>
      <c r="IC231" s="33"/>
      <c r="ID231" s="33"/>
      <c r="IE231" s="33"/>
      <c r="IF231" s="33"/>
      <c r="IG231" s="33"/>
      <c r="IH231" s="33"/>
      <c r="II231" s="33"/>
      <c r="IJ231" s="33"/>
      <c r="IK231" s="33"/>
      <c r="IL231" s="33"/>
      <c r="IM231" s="33"/>
    </row>
    <row r="232" spans="1:247" ht="17.25" customHeight="1">
      <c r="A232" s="66" t="str">
        <f t="shared" ca="1" si="61"/>
        <v>5.3.4</v>
      </c>
      <c r="B232" s="110" t="s">
        <v>118</v>
      </c>
      <c r="C232" s="98"/>
      <c r="D232" s="64"/>
      <c r="E232" s="64"/>
      <c r="F232" s="65"/>
      <c r="G232" s="68"/>
      <c r="H232" s="65">
        <f t="shared" si="62"/>
        <v>0</v>
      </c>
      <c r="I232" s="78">
        <f t="shared" si="64"/>
        <v>0</v>
      </c>
      <c r="J232" s="65">
        <f t="shared" si="65"/>
        <v>0</v>
      </c>
      <c r="K232" s="77">
        <v>100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  <c r="HI232" s="33"/>
      <c r="HJ232" s="33"/>
      <c r="HK232" s="33"/>
      <c r="HL232" s="33"/>
      <c r="HM232" s="33"/>
      <c r="HN232" s="33"/>
      <c r="HO232" s="33"/>
      <c r="HP232" s="33"/>
      <c r="HQ232" s="33"/>
      <c r="HR232" s="33"/>
      <c r="HS232" s="33"/>
      <c r="HT232" s="33"/>
      <c r="HU232" s="33"/>
      <c r="HV232" s="33"/>
      <c r="HW232" s="33"/>
      <c r="HX232" s="33"/>
      <c r="HY232" s="33"/>
      <c r="HZ232" s="33"/>
      <c r="IA232" s="33"/>
      <c r="IB232" s="33"/>
      <c r="IC232" s="33"/>
      <c r="ID232" s="33"/>
      <c r="IE232" s="33"/>
      <c r="IF232" s="33"/>
      <c r="IG232" s="33"/>
      <c r="IH232" s="33"/>
      <c r="II232" s="33"/>
      <c r="IJ232" s="33"/>
      <c r="IK232" s="33"/>
      <c r="IL232" s="33"/>
      <c r="IM232" s="33"/>
    </row>
    <row r="233" spans="1:247" ht="17.25" customHeight="1">
      <c r="A233" s="66" t="str">
        <f t="shared" ca="1" si="61"/>
        <v>5.3.5</v>
      </c>
      <c r="B233" s="110" t="s">
        <v>119</v>
      </c>
      <c r="C233" s="98"/>
      <c r="D233" s="64"/>
      <c r="E233" s="64"/>
      <c r="F233" s="65"/>
      <c r="G233" s="68"/>
      <c r="H233" s="65">
        <f t="shared" si="62"/>
        <v>0</v>
      </c>
      <c r="I233" s="78">
        <f t="shared" si="64"/>
        <v>0</v>
      </c>
      <c r="J233" s="65">
        <f t="shared" si="65"/>
        <v>0</v>
      </c>
      <c r="K233" s="77">
        <v>100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  <c r="HI233" s="33"/>
      <c r="HJ233" s="33"/>
      <c r="HK233" s="33"/>
      <c r="HL233" s="33"/>
      <c r="HM233" s="33"/>
      <c r="HN233" s="33"/>
      <c r="HO233" s="33"/>
      <c r="HP233" s="33"/>
      <c r="HQ233" s="33"/>
      <c r="HR233" s="33"/>
      <c r="HS233" s="33"/>
      <c r="HT233" s="33"/>
      <c r="HU233" s="33"/>
      <c r="HV233" s="33"/>
      <c r="HW233" s="33"/>
      <c r="HX233" s="33"/>
      <c r="HY233" s="33"/>
      <c r="HZ233" s="33"/>
      <c r="IA233" s="33"/>
      <c r="IB233" s="33"/>
      <c r="IC233" s="33"/>
      <c r="ID233" s="33"/>
      <c r="IE233" s="33"/>
      <c r="IF233" s="33"/>
      <c r="IG233" s="33"/>
      <c r="IH233" s="33"/>
      <c r="II233" s="33"/>
      <c r="IJ233" s="33"/>
      <c r="IK233" s="33"/>
      <c r="IL233" s="33"/>
      <c r="IM233" s="33"/>
    </row>
    <row r="234" spans="1:247" ht="17.25" customHeight="1">
      <c r="A234" s="66" t="str">
        <f t="shared" ca="1" si="61"/>
        <v>5.3.6</v>
      </c>
      <c r="B234" s="110" t="s">
        <v>110</v>
      </c>
      <c r="C234" s="98"/>
      <c r="D234" s="64"/>
      <c r="E234" s="64"/>
      <c r="F234" s="65"/>
      <c r="G234" s="68"/>
      <c r="H234" s="65">
        <f t="shared" si="62"/>
        <v>0</v>
      </c>
      <c r="I234" s="78">
        <f t="shared" si="64"/>
        <v>0</v>
      </c>
      <c r="J234" s="65">
        <f t="shared" si="65"/>
        <v>0</v>
      </c>
      <c r="K234" s="77">
        <v>100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  <c r="HI234" s="33"/>
      <c r="HJ234" s="33"/>
      <c r="HK234" s="33"/>
      <c r="HL234" s="33"/>
      <c r="HM234" s="33"/>
      <c r="HN234" s="33"/>
      <c r="HO234" s="33"/>
      <c r="HP234" s="33"/>
      <c r="HQ234" s="33"/>
      <c r="HR234" s="33"/>
      <c r="HS234" s="33"/>
      <c r="HT234" s="33"/>
      <c r="HU234" s="33"/>
      <c r="HV234" s="33"/>
      <c r="HW234" s="33"/>
      <c r="HX234" s="33"/>
      <c r="HY234" s="33"/>
      <c r="HZ234" s="33"/>
      <c r="IA234" s="33"/>
      <c r="IB234" s="33"/>
      <c r="IC234" s="33"/>
      <c r="ID234" s="33"/>
      <c r="IE234" s="33"/>
      <c r="IF234" s="33"/>
      <c r="IG234" s="33"/>
      <c r="IH234" s="33"/>
      <c r="II234" s="33"/>
      <c r="IJ234" s="33"/>
      <c r="IK234" s="33"/>
      <c r="IL234" s="33"/>
      <c r="IM234" s="33"/>
    </row>
    <row r="235" spans="1:247" ht="17.25" customHeight="1">
      <c r="A235" s="66" t="str">
        <f t="shared" ca="1" si="61"/>
        <v>5.3.7</v>
      </c>
      <c r="B235" s="110" t="s">
        <v>120</v>
      </c>
      <c r="C235" s="98"/>
      <c r="D235" s="64"/>
      <c r="E235" s="64"/>
      <c r="F235" s="65"/>
      <c r="G235" s="68"/>
      <c r="H235" s="65">
        <f t="shared" si="62"/>
        <v>0</v>
      </c>
      <c r="I235" s="78">
        <f t="shared" si="64"/>
        <v>0</v>
      </c>
      <c r="J235" s="65">
        <f t="shared" si="65"/>
        <v>0</v>
      </c>
      <c r="K235" s="77">
        <v>100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  <c r="HI235" s="33"/>
      <c r="HJ235" s="33"/>
      <c r="HK235" s="33"/>
      <c r="HL235" s="33"/>
      <c r="HM235" s="33"/>
      <c r="HN235" s="33"/>
      <c r="HO235" s="33"/>
      <c r="HP235" s="33"/>
      <c r="HQ235" s="33"/>
      <c r="HR235" s="33"/>
      <c r="HS235" s="33"/>
      <c r="HT235" s="33"/>
      <c r="HU235" s="33"/>
      <c r="HV235" s="33"/>
      <c r="HW235" s="33"/>
      <c r="HX235" s="33"/>
      <c r="HY235" s="33"/>
      <c r="HZ235" s="33"/>
      <c r="IA235" s="33"/>
      <c r="IB235" s="33"/>
      <c r="IC235" s="33"/>
      <c r="ID235" s="33"/>
      <c r="IE235" s="33"/>
      <c r="IF235" s="33"/>
      <c r="IG235" s="33"/>
      <c r="IH235" s="33"/>
      <c r="II235" s="33"/>
      <c r="IJ235" s="33"/>
      <c r="IK235" s="33"/>
      <c r="IL235" s="33"/>
      <c r="IM235" s="33"/>
    </row>
    <row r="236" spans="1:247" ht="17.25" customHeight="1">
      <c r="A236" s="63" t="str">
        <f ca="1">IF(ISERROR(VALUE(SUBSTITUTE(OFFSET(A236,-1,0,1,1),".",""))),"0.1",IF(ISERROR(FIND("`",SUBSTITUTE(OFFSET(A236,-1,0,1,1),".","`",1))),OFFSET(A236,-1,0,1,1)&amp;".1",LEFT(OFFSET(A236,-1,0,1,1),FIND("`",SUBSTITUTE(OFFSET(A236,-1,0,1,1),".","`",1)))&amp;IF(ISERROR(FIND("`",SUBSTITUTE(OFFSET(A236,-1,0,1,1),".","`",2))),VALUE(RIGHT(OFFSET(A236,-1,0,1,1),LEN(OFFSET(A236,-1,0,1,1))-FIND("`",SUBSTITUTE(OFFSET(A236,-1,0,1,1),".","`",1))))+1,VALUE(MID(OFFSET(A236,-1,0,1,1),FIND("`",SUBSTITUTE(OFFSET(A236,-1,0,1,1),".","`",1))+1,(FIND("`",SUBSTITUTE(OFFSET(A236,-1,0,1,1),".","`",2))-FIND("`",SUBSTITUTE(OFFSET(A236,-1,0,1,1),".","`",1))-1)))+1)))</f>
        <v>5.4</v>
      </c>
      <c r="B236" s="108" t="s">
        <v>121</v>
      </c>
      <c r="C236" s="98"/>
      <c r="D236" s="64">
        <v>42120</v>
      </c>
      <c r="E236" s="64">
        <f t="shared" ref="E236" si="67">D236+F236-1</f>
        <v>42145</v>
      </c>
      <c r="F236" s="65">
        <v>26</v>
      </c>
      <c r="G236" s="68"/>
      <c r="H236" s="65">
        <f t="shared" si="62"/>
        <v>19</v>
      </c>
      <c r="I236" s="78">
        <f t="shared" si="64"/>
        <v>0</v>
      </c>
      <c r="J236" s="65">
        <f t="shared" si="65"/>
        <v>26</v>
      </c>
      <c r="K236" s="77">
        <v>100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  <c r="HI236" s="33"/>
      <c r="HJ236" s="33"/>
      <c r="HK236" s="33"/>
      <c r="HL236" s="33"/>
      <c r="HM236" s="33"/>
      <c r="HN236" s="33"/>
      <c r="HO236" s="33"/>
      <c r="HP236" s="33"/>
      <c r="HQ236" s="33"/>
      <c r="HR236" s="33"/>
      <c r="HS236" s="33"/>
      <c r="HT236" s="33"/>
      <c r="HU236" s="33"/>
      <c r="HV236" s="33"/>
      <c r="HW236" s="33"/>
      <c r="HX236" s="33"/>
      <c r="HY236" s="33"/>
      <c r="HZ236" s="33"/>
      <c r="IA236" s="33"/>
      <c r="IB236" s="33"/>
      <c r="IC236" s="33"/>
      <c r="ID236" s="33"/>
      <c r="IE236" s="33"/>
      <c r="IF236" s="33"/>
      <c r="IG236" s="33"/>
      <c r="IH236" s="33"/>
      <c r="II236" s="33"/>
      <c r="IJ236" s="33"/>
      <c r="IK236" s="33"/>
      <c r="IL236" s="33"/>
      <c r="IM236" s="33"/>
    </row>
    <row r="237" spans="1:247" ht="17.25" customHeight="1">
      <c r="A237" s="66" t="str">
        <f t="shared" ca="1" si="61"/>
        <v>5.4.1</v>
      </c>
      <c r="B237" s="110" t="s">
        <v>122</v>
      </c>
      <c r="C237" s="98"/>
      <c r="D237" s="64"/>
      <c r="E237" s="64"/>
      <c r="F237" s="65"/>
      <c r="G237" s="68"/>
      <c r="H237" s="65">
        <f t="shared" si="62"/>
        <v>0</v>
      </c>
      <c r="I237" s="78">
        <f t="shared" si="64"/>
        <v>0</v>
      </c>
      <c r="J237" s="65">
        <f t="shared" si="65"/>
        <v>0</v>
      </c>
      <c r="K237" s="77">
        <v>100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/>
      <c r="HC237" s="33"/>
      <c r="HD237" s="33"/>
      <c r="HE237" s="33"/>
      <c r="HF237" s="33"/>
      <c r="HG237" s="33"/>
      <c r="HH237" s="33"/>
      <c r="HI237" s="33"/>
      <c r="HJ237" s="33"/>
      <c r="HK237" s="33"/>
      <c r="HL237" s="33"/>
      <c r="HM237" s="33"/>
      <c r="HN237" s="33"/>
      <c r="HO237" s="33"/>
      <c r="HP237" s="33"/>
      <c r="HQ237" s="33"/>
      <c r="HR237" s="33"/>
      <c r="HS237" s="33"/>
      <c r="HT237" s="33"/>
      <c r="HU237" s="33"/>
      <c r="HV237" s="33"/>
      <c r="HW237" s="33"/>
      <c r="HX237" s="33"/>
      <c r="HY237" s="33"/>
      <c r="HZ237" s="33"/>
      <c r="IA237" s="33"/>
      <c r="IB237" s="33"/>
      <c r="IC237" s="33"/>
      <c r="ID237" s="33"/>
      <c r="IE237" s="33"/>
      <c r="IF237" s="33"/>
      <c r="IG237" s="33"/>
      <c r="IH237" s="33"/>
      <c r="II237" s="33"/>
      <c r="IJ237" s="33"/>
      <c r="IK237" s="33"/>
      <c r="IL237" s="33"/>
      <c r="IM237" s="33"/>
    </row>
    <row r="238" spans="1:247" ht="17.25" customHeight="1">
      <c r="A238" s="66" t="str">
        <f t="shared" ca="1" si="61"/>
        <v>5.4.2</v>
      </c>
      <c r="B238" s="110" t="s">
        <v>123</v>
      </c>
      <c r="C238" s="98"/>
      <c r="D238" s="64"/>
      <c r="E238" s="64"/>
      <c r="F238" s="65"/>
      <c r="G238" s="68"/>
      <c r="H238" s="65">
        <f t="shared" si="62"/>
        <v>0</v>
      </c>
      <c r="I238" s="78">
        <f t="shared" si="64"/>
        <v>0</v>
      </c>
      <c r="J238" s="65">
        <f t="shared" si="65"/>
        <v>0</v>
      </c>
      <c r="K238" s="77">
        <v>100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/>
      <c r="HC238" s="33"/>
      <c r="HD238" s="33"/>
      <c r="HE238" s="33"/>
      <c r="HF238" s="33"/>
      <c r="HG238" s="33"/>
      <c r="HH238" s="33"/>
      <c r="HI238" s="33"/>
      <c r="HJ238" s="33"/>
      <c r="HK238" s="33"/>
      <c r="HL238" s="33"/>
      <c r="HM238" s="33"/>
      <c r="HN238" s="33"/>
      <c r="HO238" s="33"/>
      <c r="HP238" s="33"/>
      <c r="HQ238" s="33"/>
      <c r="HR238" s="33"/>
      <c r="HS238" s="33"/>
      <c r="HT238" s="33"/>
      <c r="HU238" s="33"/>
      <c r="HV238" s="33"/>
      <c r="HW238" s="33"/>
      <c r="HX238" s="33"/>
      <c r="HY238" s="33"/>
      <c r="HZ238" s="33"/>
      <c r="IA238" s="33"/>
      <c r="IB238" s="33"/>
      <c r="IC238" s="33"/>
      <c r="ID238" s="33"/>
      <c r="IE238" s="33"/>
      <c r="IF238" s="33"/>
      <c r="IG238" s="33"/>
      <c r="IH238" s="33"/>
      <c r="II238" s="33"/>
      <c r="IJ238" s="33"/>
      <c r="IK238" s="33"/>
      <c r="IL238" s="33"/>
      <c r="IM238" s="33"/>
    </row>
    <row r="239" spans="1:247" ht="17.25" customHeight="1">
      <c r="A239" s="66" t="str">
        <f t="shared" ca="1" si="61"/>
        <v>5.4.3</v>
      </c>
      <c r="B239" s="110" t="s">
        <v>124</v>
      </c>
      <c r="C239" s="98"/>
      <c r="D239" s="64"/>
      <c r="E239" s="64"/>
      <c r="F239" s="65"/>
      <c r="G239" s="68"/>
      <c r="H239" s="65">
        <f t="shared" si="62"/>
        <v>0</v>
      </c>
      <c r="I239" s="78">
        <f t="shared" si="64"/>
        <v>0</v>
      </c>
      <c r="J239" s="65">
        <f t="shared" si="65"/>
        <v>0</v>
      </c>
      <c r="K239" s="77">
        <v>100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  <c r="HI239" s="33"/>
      <c r="HJ239" s="33"/>
      <c r="HK239" s="33"/>
      <c r="HL239" s="33"/>
      <c r="HM239" s="33"/>
      <c r="HN239" s="33"/>
      <c r="HO239" s="33"/>
      <c r="HP239" s="33"/>
      <c r="HQ239" s="33"/>
      <c r="HR239" s="33"/>
      <c r="HS239" s="33"/>
      <c r="HT239" s="33"/>
      <c r="HU239" s="33"/>
      <c r="HV239" s="33"/>
      <c r="HW239" s="33"/>
      <c r="HX239" s="33"/>
      <c r="HY239" s="33"/>
      <c r="HZ239" s="33"/>
      <c r="IA239" s="33"/>
      <c r="IB239" s="33"/>
      <c r="IC239" s="33"/>
      <c r="ID239" s="33"/>
      <c r="IE239" s="33"/>
      <c r="IF239" s="33"/>
      <c r="IG239" s="33"/>
      <c r="IH239" s="33"/>
      <c r="II239" s="33"/>
      <c r="IJ239" s="33"/>
      <c r="IK239" s="33"/>
      <c r="IL239" s="33"/>
      <c r="IM239" s="33"/>
    </row>
    <row r="240" spans="1:247" ht="17.25" customHeight="1">
      <c r="A240" s="66" t="str">
        <f t="shared" ca="1" si="61"/>
        <v>5.4.4</v>
      </c>
      <c r="B240" s="110" t="s">
        <v>117</v>
      </c>
      <c r="C240" s="98"/>
      <c r="D240" s="64"/>
      <c r="E240" s="64"/>
      <c r="F240" s="65"/>
      <c r="G240" s="68"/>
      <c r="H240" s="65">
        <f t="shared" si="62"/>
        <v>0</v>
      </c>
      <c r="I240" s="78">
        <f t="shared" si="64"/>
        <v>0</v>
      </c>
      <c r="J240" s="65">
        <f t="shared" si="65"/>
        <v>0</v>
      </c>
      <c r="K240" s="77">
        <v>100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  <c r="HI240" s="33"/>
      <c r="HJ240" s="33"/>
      <c r="HK240" s="33"/>
      <c r="HL240" s="33"/>
      <c r="HM240" s="33"/>
      <c r="HN240" s="33"/>
      <c r="HO240" s="33"/>
      <c r="HP240" s="33"/>
      <c r="HQ240" s="33"/>
      <c r="HR240" s="33"/>
      <c r="HS240" s="33"/>
      <c r="HT240" s="33"/>
      <c r="HU240" s="33"/>
      <c r="HV240" s="33"/>
      <c r="HW240" s="33"/>
      <c r="HX240" s="33"/>
      <c r="HY240" s="33"/>
      <c r="HZ240" s="33"/>
      <c r="IA240" s="33"/>
      <c r="IB240" s="33"/>
      <c r="IC240" s="33"/>
      <c r="ID240" s="33"/>
      <c r="IE240" s="33"/>
      <c r="IF240" s="33"/>
      <c r="IG240" s="33"/>
      <c r="IH240" s="33"/>
      <c r="II240" s="33"/>
      <c r="IJ240" s="33"/>
      <c r="IK240" s="33"/>
      <c r="IL240" s="33"/>
      <c r="IM240" s="33"/>
    </row>
    <row r="241" spans="1:247" ht="17.25" customHeight="1">
      <c r="A241" s="66" t="str">
        <f t="shared" ca="1" si="61"/>
        <v>5.4.5</v>
      </c>
      <c r="B241" s="110" t="s">
        <v>118</v>
      </c>
      <c r="C241" s="98"/>
      <c r="D241" s="64"/>
      <c r="E241" s="64"/>
      <c r="F241" s="65"/>
      <c r="G241" s="68"/>
      <c r="H241" s="65">
        <f t="shared" si="62"/>
        <v>0</v>
      </c>
      <c r="I241" s="78">
        <f t="shared" si="64"/>
        <v>0</v>
      </c>
      <c r="J241" s="65">
        <f t="shared" si="65"/>
        <v>0</v>
      </c>
      <c r="K241" s="77">
        <v>100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  <c r="HI241" s="33"/>
      <c r="HJ241" s="33"/>
      <c r="HK241" s="33"/>
      <c r="HL241" s="33"/>
      <c r="HM241" s="33"/>
      <c r="HN241" s="33"/>
      <c r="HO241" s="33"/>
      <c r="HP241" s="33"/>
      <c r="HQ241" s="33"/>
      <c r="HR241" s="33"/>
      <c r="HS241" s="33"/>
      <c r="HT241" s="33"/>
      <c r="HU241" s="33"/>
      <c r="HV241" s="33"/>
      <c r="HW241" s="33"/>
      <c r="HX241" s="33"/>
      <c r="HY241" s="33"/>
      <c r="HZ241" s="33"/>
      <c r="IA241" s="33"/>
      <c r="IB241" s="33"/>
      <c r="IC241" s="33"/>
      <c r="ID241" s="33"/>
      <c r="IE241" s="33"/>
      <c r="IF241" s="33"/>
      <c r="IG241" s="33"/>
      <c r="IH241" s="33"/>
      <c r="II241" s="33"/>
      <c r="IJ241" s="33"/>
      <c r="IK241" s="33"/>
      <c r="IL241" s="33"/>
      <c r="IM241" s="33"/>
    </row>
    <row r="242" spans="1:247" ht="17.25" customHeight="1">
      <c r="A242" s="66" t="str">
        <f t="shared" ca="1" si="61"/>
        <v>5.4.6</v>
      </c>
      <c r="B242" s="110" t="s">
        <v>125</v>
      </c>
      <c r="C242" s="98"/>
      <c r="D242" s="64"/>
      <c r="E242" s="64"/>
      <c r="F242" s="65"/>
      <c r="G242" s="68"/>
      <c r="H242" s="65">
        <f t="shared" si="62"/>
        <v>0</v>
      </c>
      <c r="I242" s="78">
        <f t="shared" si="64"/>
        <v>0</v>
      </c>
      <c r="J242" s="65">
        <f t="shared" si="65"/>
        <v>0</v>
      </c>
      <c r="K242" s="77">
        <v>100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  <c r="HI242" s="33"/>
      <c r="HJ242" s="33"/>
      <c r="HK242" s="33"/>
      <c r="HL242" s="33"/>
      <c r="HM242" s="33"/>
      <c r="HN242" s="33"/>
      <c r="HO242" s="33"/>
      <c r="HP242" s="33"/>
      <c r="HQ242" s="33"/>
      <c r="HR242" s="33"/>
      <c r="HS242" s="33"/>
      <c r="HT242" s="33"/>
      <c r="HU242" s="33"/>
      <c r="HV242" s="33"/>
      <c r="HW242" s="33"/>
      <c r="HX242" s="33"/>
      <c r="HY242" s="33"/>
      <c r="HZ242" s="33"/>
      <c r="IA242" s="33"/>
      <c r="IB242" s="33"/>
      <c r="IC242" s="33"/>
      <c r="ID242" s="33"/>
      <c r="IE242" s="33"/>
      <c r="IF242" s="33"/>
      <c r="IG242" s="33"/>
      <c r="IH242" s="33"/>
      <c r="II242" s="33"/>
      <c r="IJ242" s="33"/>
      <c r="IK242" s="33"/>
      <c r="IL242" s="33"/>
      <c r="IM242" s="33"/>
    </row>
    <row r="243" spans="1:247" ht="17.25" customHeight="1">
      <c r="A243" s="66" t="str">
        <f t="shared" ca="1" si="61"/>
        <v>5.4.7</v>
      </c>
      <c r="B243" s="110" t="s">
        <v>110</v>
      </c>
      <c r="C243" s="98"/>
      <c r="D243" s="64"/>
      <c r="E243" s="64"/>
      <c r="F243" s="65"/>
      <c r="G243" s="68"/>
      <c r="H243" s="65">
        <f t="shared" si="62"/>
        <v>0</v>
      </c>
      <c r="I243" s="78">
        <f t="shared" si="64"/>
        <v>0</v>
      </c>
      <c r="J243" s="65">
        <f t="shared" si="65"/>
        <v>0</v>
      </c>
      <c r="K243" s="77">
        <v>100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  <c r="HI243" s="33"/>
      <c r="HJ243" s="33"/>
      <c r="HK243" s="33"/>
      <c r="HL243" s="33"/>
      <c r="HM243" s="33"/>
      <c r="HN243" s="33"/>
      <c r="HO243" s="33"/>
      <c r="HP243" s="33"/>
      <c r="HQ243" s="33"/>
      <c r="HR243" s="33"/>
      <c r="HS243" s="33"/>
      <c r="HT243" s="33"/>
      <c r="HU243" s="33"/>
      <c r="HV243" s="33"/>
      <c r="HW243" s="33"/>
      <c r="HX243" s="33"/>
      <c r="HY243" s="33"/>
      <c r="HZ243" s="33"/>
      <c r="IA243" s="33"/>
      <c r="IB243" s="33"/>
      <c r="IC243" s="33"/>
      <c r="ID243" s="33"/>
      <c r="IE243" s="33"/>
      <c r="IF243" s="33"/>
      <c r="IG243" s="33"/>
      <c r="IH243" s="33"/>
      <c r="II243" s="33"/>
      <c r="IJ243" s="33"/>
      <c r="IK243" s="33"/>
      <c r="IL243" s="33"/>
      <c r="IM243" s="33"/>
    </row>
    <row r="244" spans="1:247" ht="17.25" customHeight="1">
      <c r="A244" s="66" t="str">
        <f t="shared" ca="1" si="61"/>
        <v>5.4.8</v>
      </c>
      <c r="B244" s="110" t="s">
        <v>126</v>
      </c>
      <c r="C244" s="98"/>
      <c r="D244" s="64"/>
      <c r="E244" s="64"/>
      <c r="F244" s="65"/>
      <c r="G244" s="68"/>
      <c r="H244" s="65">
        <f t="shared" si="62"/>
        <v>0</v>
      </c>
      <c r="I244" s="78">
        <f t="shared" si="64"/>
        <v>0</v>
      </c>
      <c r="J244" s="65">
        <f t="shared" si="65"/>
        <v>0</v>
      </c>
      <c r="K244" s="77">
        <v>100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  <c r="HI244" s="33"/>
      <c r="HJ244" s="33"/>
      <c r="HK244" s="33"/>
      <c r="HL244" s="33"/>
      <c r="HM244" s="33"/>
      <c r="HN244" s="33"/>
      <c r="HO244" s="33"/>
      <c r="HP244" s="33"/>
      <c r="HQ244" s="33"/>
      <c r="HR244" s="33"/>
      <c r="HS244" s="33"/>
      <c r="HT244" s="33"/>
      <c r="HU244" s="33"/>
      <c r="HV244" s="33"/>
      <c r="HW244" s="33"/>
      <c r="HX244" s="33"/>
      <c r="HY244" s="33"/>
      <c r="HZ244" s="33"/>
      <c r="IA244" s="33"/>
      <c r="IB244" s="33"/>
      <c r="IC244" s="33"/>
      <c r="ID244" s="33"/>
      <c r="IE244" s="33"/>
      <c r="IF244" s="33"/>
      <c r="IG244" s="33"/>
      <c r="IH244" s="33"/>
      <c r="II244" s="33"/>
      <c r="IJ244" s="33"/>
      <c r="IK244" s="33"/>
      <c r="IL244" s="33"/>
      <c r="IM244" s="33"/>
    </row>
    <row r="245" spans="1:247" ht="17.25" customHeight="1">
      <c r="A245" s="63" t="str">
        <f ca="1">IF(ISERROR(VALUE(SUBSTITUTE(OFFSET(A245,-1,0,1,1),".",""))),"0.1",IF(ISERROR(FIND("`",SUBSTITUTE(OFFSET(A245,-1,0,1,1),".","`",1))),OFFSET(A245,-1,0,1,1)&amp;".1",LEFT(OFFSET(A245,-1,0,1,1),FIND("`",SUBSTITUTE(OFFSET(A245,-1,0,1,1),".","`",1)))&amp;IF(ISERROR(FIND("`",SUBSTITUTE(OFFSET(A245,-1,0,1,1),".","`",2))),VALUE(RIGHT(OFFSET(A245,-1,0,1,1),LEN(OFFSET(A245,-1,0,1,1))-FIND("`",SUBSTITUTE(OFFSET(A245,-1,0,1,1),".","`",1))))+1,VALUE(MID(OFFSET(A245,-1,0,1,1),FIND("`",SUBSTITUTE(OFFSET(A245,-1,0,1,1),".","`",1))+1,(FIND("`",SUBSTITUTE(OFFSET(A245,-1,0,1,1),".","`",2))-FIND("`",SUBSTITUTE(OFFSET(A245,-1,0,1,1),".","`",1))-1)))+1)))</f>
        <v>5.5</v>
      </c>
      <c r="B245" s="108" t="s">
        <v>127</v>
      </c>
      <c r="C245" s="98"/>
      <c r="D245" s="64">
        <v>42120</v>
      </c>
      <c r="E245" s="64">
        <f t="shared" ref="E245" si="68">D245+F245-1</f>
        <v>42145</v>
      </c>
      <c r="F245" s="65">
        <v>26</v>
      </c>
      <c r="G245" s="68"/>
      <c r="H245" s="65">
        <f t="shared" si="62"/>
        <v>19</v>
      </c>
      <c r="I245" s="78">
        <f t="shared" si="64"/>
        <v>0</v>
      </c>
      <c r="J245" s="65">
        <f t="shared" si="65"/>
        <v>26</v>
      </c>
      <c r="K245" s="77">
        <v>100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  <c r="HI245" s="33"/>
      <c r="HJ245" s="33"/>
      <c r="HK245" s="33"/>
      <c r="HL245" s="33"/>
      <c r="HM245" s="33"/>
      <c r="HN245" s="33"/>
      <c r="HO245" s="33"/>
      <c r="HP245" s="33"/>
      <c r="HQ245" s="33"/>
      <c r="HR245" s="33"/>
      <c r="HS245" s="33"/>
      <c r="HT245" s="33"/>
      <c r="HU245" s="33"/>
      <c r="HV245" s="33"/>
      <c r="HW245" s="33"/>
      <c r="HX245" s="33"/>
      <c r="HY245" s="33"/>
      <c r="HZ245" s="33"/>
      <c r="IA245" s="33"/>
      <c r="IB245" s="33"/>
      <c r="IC245" s="33"/>
      <c r="ID245" s="33"/>
      <c r="IE245" s="33"/>
      <c r="IF245" s="33"/>
      <c r="IG245" s="33"/>
      <c r="IH245" s="33"/>
      <c r="II245" s="33"/>
      <c r="IJ245" s="33"/>
      <c r="IK245" s="33"/>
      <c r="IL245" s="33"/>
      <c r="IM245" s="33"/>
    </row>
    <row r="246" spans="1:247" ht="17.25" customHeight="1">
      <c r="A246" s="66" t="str">
        <f t="shared" ca="1" si="61"/>
        <v>5.5.1</v>
      </c>
      <c r="B246" s="110" t="s">
        <v>128</v>
      </c>
      <c r="C246" s="98"/>
      <c r="D246" s="64"/>
      <c r="E246" s="64"/>
      <c r="F246" s="65"/>
      <c r="G246" s="68"/>
      <c r="H246" s="65">
        <f t="shared" si="62"/>
        <v>0</v>
      </c>
      <c r="I246" s="78">
        <f t="shared" si="64"/>
        <v>0</v>
      </c>
      <c r="J246" s="65">
        <f t="shared" si="65"/>
        <v>0</v>
      </c>
      <c r="K246" s="77">
        <v>100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  <c r="HI246" s="33"/>
      <c r="HJ246" s="33"/>
      <c r="HK246" s="33"/>
      <c r="HL246" s="33"/>
      <c r="HM246" s="33"/>
      <c r="HN246" s="33"/>
      <c r="HO246" s="33"/>
      <c r="HP246" s="33"/>
      <c r="HQ246" s="33"/>
      <c r="HR246" s="33"/>
      <c r="HS246" s="33"/>
      <c r="HT246" s="33"/>
      <c r="HU246" s="33"/>
      <c r="HV246" s="33"/>
      <c r="HW246" s="33"/>
      <c r="HX246" s="33"/>
      <c r="HY246" s="33"/>
      <c r="HZ246" s="33"/>
      <c r="IA246" s="33"/>
      <c r="IB246" s="33"/>
      <c r="IC246" s="33"/>
      <c r="ID246" s="33"/>
      <c r="IE246" s="33"/>
      <c r="IF246" s="33"/>
      <c r="IG246" s="33"/>
      <c r="IH246" s="33"/>
      <c r="II246" s="33"/>
      <c r="IJ246" s="33"/>
      <c r="IK246" s="33"/>
      <c r="IL246" s="33"/>
      <c r="IM246" s="33"/>
    </row>
    <row r="247" spans="1:247" ht="17.25" customHeight="1">
      <c r="A247" s="66" t="str">
        <f t="shared" ca="1" si="61"/>
        <v>5.5.2</v>
      </c>
      <c r="B247" s="110" t="s">
        <v>129</v>
      </c>
      <c r="C247" s="98"/>
      <c r="D247" s="64"/>
      <c r="E247" s="64"/>
      <c r="F247" s="65"/>
      <c r="G247" s="68"/>
      <c r="H247" s="65">
        <f t="shared" si="62"/>
        <v>0</v>
      </c>
      <c r="I247" s="78">
        <f t="shared" si="64"/>
        <v>0</v>
      </c>
      <c r="J247" s="65">
        <f t="shared" si="65"/>
        <v>0</v>
      </c>
      <c r="K247" s="77">
        <v>100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  <c r="HI247" s="33"/>
      <c r="HJ247" s="33"/>
      <c r="HK247" s="33"/>
      <c r="HL247" s="33"/>
      <c r="HM247" s="33"/>
      <c r="HN247" s="33"/>
      <c r="HO247" s="33"/>
      <c r="HP247" s="33"/>
      <c r="HQ247" s="33"/>
      <c r="HR247" s="33"/>
      <c r="HS247" s="33"/>
      <c r="HT247" s="33"/>
      <c r="HU247" s="33"/>
      <c r="HV247" s="33"/>
      <c r="HW247" s="33"/>
      <c r="HX247" s="33"/>
      <c r="HY247" s="33"/>
      <c r="HZ247" s="33"/>
      <c r="IA247" s="33"/>
      <c r="IB247" s="33"/>
      <c r="IC247" s="33"/>
      <c r="ID247" s="33"/>
      <c r="IE247" s="33"/>
      <c r="IF247" s="33"/>
      <c r="IG247" s="33"/>
      <c r="IH247" s="33"/>
      <c r="II247" s="33"/>
      <c r="IJ247" s="33"/>
      <c r="IK247" s="33"/>
      <c r="IL247" s="33"/>
      <c r="IM247" s="33"/>
    </row>
    <row r="248" spans="1:247" ht="17.25" customHeight="1">
      <c r="A248" s="66" t="str">
        <f t="shared" ca="1" si="61"/>
        <v>5.5.3</v>
      </c>
      <c r="B248" s="110" t="s">
        <v>130</v>
      </c>
      <c r="C248" s="98"/>
      <c r="D248" s="64"/>
      <c r="E248" s="64"/>
      <c r="F248" s="65"/>
      <c r="G248" s="68"/>
      <c r="H248" s="65">
        <f t="shared" si="62"/>
        <v>0</v>
      </c>
      <c r="I248" s="78">
        <f t="shared" si="64"/>
        <v>0</v>
      </c>
      <c r="J248" s="65">
        <f t="shared" si="65"/>
        <v>0</v>
      </c>
      <c r="K248" s="77">
        <v>100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  <c r="HI248" s="33"/>
      <c r="HJ248" s="33"/>
      <c r="HK248" s="33"/>
      <c r="HL248" s="33"/>
      <c r="HM248" s="33"/>
      <c r="HN248" s="33"/>
      <c r="HO248" s="33"/>
      <c r="HP248" s="33"/>
      <c r="HQ248" s="33"/>
      <c r="HR248" s="33"/>
      <c r="HS248" s="33"/>
      <c r="HT248" s="33"/>
      <c r="HU248" s="33"/>
      <c r="HV248" s="33"/>
      <c r="HW248" s="33"/>
      <c r="HX248" s="33"/>
      <c r="HY248" s="33"/>
      <c r="HZ248" s="33"/>
      <c r="IA248" s="33"/>
      <c r="IB248" s="33"/>
      <c r="IC248" s="33"/>
      <c r="ID248" s="33"/>
      <c r="IE248" s="33"/>
      <c r="IF248" s="33"/>
      <c r="IG248" s="33"/>
      <c r="IH248" s="33"/>
      <c r="II248" s="33"/>
      <c r="IJ248" s="33"/>
      <c r="IK248" s="33"/>
      <c r="IL248" s="33"/>
      <c r="IM248" s="33"/>
    </row>
    <row r="249" spans="1:247" ht="17.25" customHeight="1">
      <c r="A249" s="66" t="str">
        <f t="shared" ca="1" si="61"/>
        <v>5.5.4</v>
      </c>
      <c r="B249" s="110" t="s">
        <v>131</v>
      </c>
      <c r="C249" s="98"/>
      <c r="D249" s="64"/>
      <c r="E249" s="64"/>
      <c r="F249" s="65"/>
      <c r="G249" s="68"/>
      <c r="H249" s="65">
        <f t="shared" si="62"/>
        <v>0</v>
      </c>
      <c r="I249" s="78">
        <f t="shared" si="64"/>
        <v>0</v>
      </c>
      <c r="J249" s="65">
        <f t="shared" si="65"/>
        <v>0</v>
      </c>
      <c r="K249" s="77">
        <v>100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33"/>
      <c r="HG249" s="33"/>
      <c r="HH249" s="33"/>
      <c r="HI249" s="33"/>
      <c r="HJ249" s="33"/>
      <c r="HK249" s="33"/>
      <c r="HL249" s="33"/>
      <c r="HM249" s="33"/>
      <c r="HN249" s="33"/>
      <c r="HO249" s="33"/>
      <c r="HP249" s="33"/>
      <c r="HQ249" s="33"/>
      <c r="HR249" s="33"/>
      <c r="HS249" s="33"/>
      <c r="HT249" s="33"/>
      <c r="HU249" s="33"/>
      <c r="HV249" s="33"/>
      <c r="HW249" s="33"/>
      <c r="HX249" s="33"/>
      <c r="HY249" s="33"/>
      <c r="HZ249" s="33"/>
      <c r="IA249" s="33"/>
      <c r="IB249" s="33"/>
      <c r="IC249" s="33"/>
      <c r="ID249" s="33"/>
      <c r="IE249" s="33"/>
      <c r="IF249" s="33"/>
      <c r="IG249" s="33"/>
      <c r="IH249" s="33"/>
      <c r="II249" s="33"/>
      <c r="IJ249" s="33"/>
      <c r="IK249" s="33"/>
      <c r="IL249" s="33"/>
      <c r="IM249" s="33"/>
    </row>
    <row r="250" spans="1:247" ht="17.25" customHeight="1">
      <c r="A250" s="66" t="str">
        <f t="shared" ca="1" si="61"/>
        <v>5.5.5</v>
      </c>
      <c r="B250" s="110" t="s">
        <v>132</v>
      </c>
      <c r="C250" s="98"/>
      <c r="D250" s="64"/>
      <c r="E250" s="64"/>
      <c r="F250" s="65"/>
      <c r="G250" s="68"/>
      <c r="H250" s="65">
        <f t="shared" si="62"/>
        <v>0</v>
      </c>
      <c r="I250" s="78">
        <f t="shared" si="64"/>
        <v>0</v>
      </c>
      <c r="J250" s="65">
        <f t="shared" si="65"/>
        <v>0</v>
      </c>
      <c r="K250" s="77">
        <v>100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33"/>
      <c r="HG250" s="33"/>
      <c r="HH250" s="33"/>
      <c r="HI250" s="33"/>
      <c r="HJ250" s="33"/>
      <c r="HK250" s="33"/>
      <c r="HL250" s="33"/>
      <c r="HM250" s="33"/>
      <c r="HN250" s="33"/>
      <c r="HO250" s="33"/>
      <c r="HP250" s="33"/>
      <c r="HQ250" s="33"/>
      <c r="HR250" s="33"/>
      <c r="HS250" s="33"/>
      <c r="HT250" s="33"/>
      <c r="HU250" s="33"/>
      <c r="HV250" s="33"/>
      <c r="HW250" s="33"/>
      <c r="HX250" s="33"/>
      <c r="HY250" s="33"/>
      <c r="HZ250" s="33"/>
      <c r="IA250" s="33"/>
      <c r="IB250" s="33"/>
      <c r="IC250" s="33"/>
      <c r="ID250" s="33"/>
      <c r="IE250" s="33"/>
      <c r="IF250" s="33"/>
      <c r="IG250" s="33"/>
      <c r="IH250" s="33"/>
      <c r="II250" s="33"/>
      <c r="IJ250" s="33"/>
      <c r="IK250" s="33"/>
      <c r="IL250" s="33"/>
      <c r="IM250" s="33"/>
    </row>
    <row r="251" spans="1:247" ht="17.25" customHeight="1">
      <c r="A251" s="66" t="str">
        <f t="shared" ca="1" si="61"/>
        <v>5.5.6</v>
      </c>
      <c r="B251" s="110" t="s">
        <v>133</v>
      </c>
      <c r="C251" s="98"/>
      <c r="D251" s="64"/>
      <c r="E251" s="64"/>
      <c r="F251" s="65"/>
      <c r="G251" s="68"/>
      <c r="H251" s="65">
        <f t="shared" si="62"/>
        <v>0</v>
      </c>
      <c r="I251" s="78">
        <f t="shared" si="64"/>
        <v>0</v>
      </c>
      <c r="J251" s="65">
        <f t="shared" si="65"/>
        <v>0</v>
      </c>
      <c r="K251" s="77">
        <v>100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33"/>
      <c r="HG251" s="33"/>
      <c r="HH251" s="33"/>
      <c r="HI251" s="33"/>
      <c r="HJ251" s="33"/>
      <c r="HK251" s="33"/>
      <c r="HL251" s="33"/>
      <c r="HM251" s="33"/>
      <c r="HN251" s="33"/>
      <c r="HO251" s="33"/>
      <c r="HP251" s="33"/>
      <c r="HQ251" s="33"/>
      <c r="HR251" s="33"/>
      <c r="HS251" s="33"/>
      <c r="HT251" s="33"/>
      <c r="HU251" s="33"/>
      <c r="HV251" s="33"/>
      <c r="HW251" s="33"/>
      <c r="HX251" s="33"/>
      <c r="HY251" s="33"/>
      <c r="HZ251" s="33"/>
      <c r="IA251" s="33"/>
      <c r="IB251" s="33"/>
      <c r="IC251" s="33"/>
      <c r="ID251" s="33"/>
      <c r="IE251" s="33"/>
      <c r="IF251" s="33"/>
      <c r="IG251" s="33"/>
      <c r="IH251" s="33"/>
      <c r="II251" s="33"/>
      <c r="IJ251" s="33"/>
      <c r="IK251" s="33"/>
      <c r="IL251" s="33"/>
      <c r="IM251" s="33"/>
    </row>
    <row r="252" spans="1:247" ht="17.25" customHeight="1">
      <c r="A252" s="59">
        <f ca="1">IF(ISERROR(VALUE(SUBSTITUTE(OFFSET(A252,-1,0,1,1),".",""))),1,IF(ISERROR(FIND("`",SUBSTITUTE(OFFSET(A252,-1,0,1,1),".","`",1))),VALUE(OFFSET(A252,-1,0,1,1))+1,VALUE(LEFT(OFFSET(A252,-1,0,1,1),FIND("`",SUBSTITUTE(OFFSET(A252,-1,0,1,1),".","`",1))-1))+1))</f>
        <v>6</v>
      </c>
      <c r="B252" s="105" t="s">
        <v>149</v>
      </c>
      <c r="C252" s="98" t="s">
        <v>162</v>
      </c>
      <c r="D252" s="64">
        <v>42115</v>
      </c>
      <c r="E252" s="64">
        <v>42176</v>
      </c>
      <c r="F252" s="65"/>
      <c r="G252" s="68"/>
      <c r="H252" s="65">
        <f t="shared" si="62"/>
        <v>44</v>
      </c>
      <c r="I252" s="78">
        <f t="shared" si="64"/>
        <v>0</v>
      </c>
      <c r="J252" s="65">
        <f t="shared" si="65"/>
        <v>0</v>
      </c>
      <c r="K252" s="77">
        <v>100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33"/>
      <c r="HG252" s="33"/>
      <c r="HH252" s="33"/>
      <c r="HI252" s="33"/>
      <c r="HJ252" s="33"/>
      <c r="HK252" s="33"/>
      <c r="HL252" s="33"/>
      <c r="HM252" s="33"/>
      <c r="HN252" s="33"/>
      <c r="HO252" s="33"/>
      <c r="HP252" s="33"/>
      <c r="HQ252" s="33"/>
      <c r="HR252" s="33"/>
      <c r="HS252" s="33"/>
      <c r="HT252" s="33"/>
      <c r="HU252" s="33"/>
      <c r="HV252" s="33"/>
      <c r="HW252" s="33"/>
      <c r="HX252" s="33"/>
      <c r="HY252" s="33"/>
      <c r="HZ252" s="33"/>
      <c r="IA252" s="33"/>
      <c r="IB252" s="33"/>
      <c r="IC252" s="33"/>
      <c r="ID252" s="33"/>
      <c r="IE252" s="33"/>
      <c r="IF252" s="33"/>
      <c r="IG252" s="33"/>
      <c r="IH252" s="33"/>
      <c r="II252" s="33"/>
      <c r="IJ252" s="33"/>
      <c r="IK252" s="33"/>
      <c r="IL252" s="33"/>
      <c r="IM252" s="33"/>
    </row>
    <row r="253" spans="1:247" ht="17.25" customHeight="1">
      <c r="A253" s="66" t="str">
        <f ca="1">IF(ISERROR(VALUE(SUBSTITUTE(OFFSET(A253,-1,0,1,1),".",""))),"0.0.1",IF(ISERROR(FIND("`",SUBSTITUTE(OFFSET(A253,-1,0,1,1),".","`",2))),OFFSET(A253,-1,0,1,1)&amp;".1",LEFT(OFFSET(A253,-1,0,1,1),FIND("`",SUBSTITUTE(OFFSET(A253,-1,0,1,1),".","`",2)))&amp;IF(ISERROR(FIND("`",SUBSTITUTE(OFFSET(A253,-1,0,1,1),".","`",3))),VALUE(RIGHT(OFFSET(A253,-1,0,1,1),LEN(OFFSET(A253,-1,0,1,1))-FIND("`",SUBSTITUTE(OFFSET(A253,-1,0,1,1),".","`",2))))+1,VALUE(MID(OFFSET(A253,-1,0,1,1),FIND("`",SUBSTITUTE(OFFSET(A253,-1,0,1,1),".","`",2))+1,(FIND("`",SUBSTITUTE(OFFSET(A253,-1,0,1,1),".","`",3))-FIND("`",SUBSTITUTE(OFFSET(A253,-1,0,1,1),".","`",2))-1)))+1)))</f>
        <v>6.1</v>
      </c>
      <c r="B253" s="108" t="s">
        <v>168</v>
      </c>
      <c r="C253" s="113" t="s">
        <v>187</v>
      </c>
      <c r="D253" s="64"/>
      <c r="E253" s="64"/>
      <c r="F253" s="65"/>
      <c r="G253" s="68"/>
      <c r="H253" s="65">
        <f t="shared" si="62"/>
        <v>0</v>
      </c>
      <c r="I253" s="78">
        <f t="shared" si="64"/>
        <v>0</v>
      </c>
      <c r="J253" s="65">
        <f t="shared" si="65"/>
        <v>0</v>
      </c>
      <c r="K253" s="77">
        <v>100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  <c r="HI253" s="33"/>
      <c r="HJ253" s="33"/>
      <c r="HK253" s="33"/>
      <c r="HL253" s="33"/>
      <c r="HM253" s="33"/>
      <c r="HN253" s="33"/>
      <c r="HO253" s="33"/>
      <c r="HP253" s="33"/>
      <c r="HQ253" s="33"/>
      <c r="HR253" s="33"/>
      <c r="HS253" s="33"/>
      <c r="HT253" s="33"/>
      <c r="HU253" s="33"/>
      <c r="HV253" s="33"/>
      <c r="HW253" s="33"/>
      <c r="HX253" s="33"/>
      <c r="HY253" s="33"/>
      <c r="HZ253" s="33"/>
      <c r="IA253" s="33"/>
      <c r="IB253" s="33"/>
      <c r="IC253" s="33"/>
      <c r="ID253" s="33"/>
      <c r="IE253" s="33"/>
      <c r="IF253" s="33"/>
      <c r="IG253" s="33"/>
      <c r="IH253" s="33"/>
      <c r="II253" s="33"/>
      <c r="IJ253" s="33"/>
      <c r="IK253" s="33"/>
      <c r="IL253" s="33"/>
      <c r="IM253" s="33"/>
    </row>
    <row r="254" spans="1:247" ht="17.25" customHeight="1">
      <c r="A254" s="66" t="str">
        <f t="shared" ref="A254:A293" ca="1" si="69">IF(ISERROR(VALUE(SUBSTITUTE(OFFSET(A254,-1,0,1,1),".",""))),"0.0.1",IF(ISERROR(FIND("`",SUBSTITUTE(OFFSET(A254,-1,0,1,1),".","`",2))),OFFSET(A254,-1,0,1,1)&amp;".1",LEFT(OFFSET(A254,-1,0,1,1),FIND("`",SUBSTITUTE(OFFSET(A254,-1,0,1,1),".","`",2)))&amp;IF(ISERROR(FIND("`",SUBSTITUTE(OFFSET(A254,-1,0,1,1),".","`",3))),VALUE(RIGHT(OFFSET(A254,-1,0,1,1),LEN(OFFSET(A254,-1,0,1,1))-FIND("`",SUBSTITUTE(OFFSET(A254,-1,0,1,1),".","`",2))))+1,VALUE(MID(OFFSET(A254,-1,0,1,1),FIND("`",SUBSTITUTE(OFFSET(A254,-1,0,1,1),".","`",2))+1,(FIND("`",SUBSTITUTE(OFFSET(A254,-1,0,1,1),".","`",3))-FIND("`",SUBSTITUTE(OFFSET(A254,-1,0,1,1),".","`",2))-1)))+1)))</f>
        <v>6.1.1</v>
      </c>
      <c r="B254" s="177" t="s">
        <v>185</v>
      </c>
      <c r="C254" s="113" t="s">
        <v>187</v>
      </c>
      <c r="D254" s="64">
        <v>42125</v>
      </c>
      <c r="E254" s="64">
        <v>42126</v>
      </c>
      <c r="F254" s="65"/>
      <c r="G254" s="68"/>
      <c r="H254" s="65">
        <f t="shared" si="62"/>
        <v>1</v>
      </c>
      <c r="I254" s="78">
        <f t="shared" si="64"/>
        <v>0</v>
      </c>
      <c r="J254" s="65">
        <f t="shared" si="65"/>
        <v>0</v>
      </c>
      <c r="K254" s="77">
        <v>100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33"/>
      <c r="HG254" s="33"/>
      <c r="HH254" s="33"/>
      <c r="HI254" s="33"/>
      <c r="HJ254" s="33"/>
      <c r="HK254" s="33"/>
      <c r="HL254" s="33"/>
      <c r="HM254" s="33"/>
      <c r="HN254" s="33"/>
      <c r="HO254" s="33"/>
      <c r="HP254" s="33"/>
      <c r="HQ254" s="33"/>
      <c r="HR254" s="33"/>
      <c r="HS254" s="33"/>
      <c r="HT254" s="33"/>
      <c r="HU254" s="33"/>
      <c r="HV254" s="33"/>
      <c r="HW254" s="33"/>
      <c r="HX254" s="33"/>
      <c r="HY254" s="33"/>
      <c r="HZ254" s="33"/>
      <c r="IA254" s="33"/>
      <c r="IB254" s="33"/>
      <c r="IC254" s="33"/>
      <c r="ID254" s="33"/>
      <c r="IE254" s="33"/>
      <c r="IF254" s="33"/>
      <c r="IG254" s="33"/>
      <c r="IH254" s="33"/>
      <c r="II254" s="33"/>
      <c r="IJ254" s="33"/>
      <c r="IK254" s="33"/>
      <c r="IL254" s="33"/>
      <c r="IM254" s="33"/>
    </row>
    <row r="255" spans="1:247" ht="17.25" customHeight="1">
      <c r="A255" s="66" t="str">
        <f t="shared" ca="1" si="69"/>
        <v>6.1.2</v>
      </c>
      <c r="B255" s="177" t="s">
        <v>194</v>
      </c>
      <c r="C255" s="113" t="s">
        <v>187</v>
      </c>
      <c r="D255" s="64">
        <v>42123</v>
      </c>
      <c r="E255" s="64">
        <v>42124</v>
      </c>
      <c r="F255" s="65"/>
      <c r="G255" s="68"/>
      <c r="H255" s="65">
        <f t="shared" si="62"/>
        <v>2</v>
      </c>
      <c r="I255" s="78">
        <f t="shared" si="64"/>
        <v>0</v>
      </c>
      <c r="J255" s="65">
        <f t="shared" ref="J255:J258" si="70">F255-I255</f>
        <v>0</v>
      </c>
      <c r="K255" s="77">
        <v>100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33"/>
      <c r="HG255" s="33"/>
      <c r="HH255" s="33"/>
      <c r="HI255" s="33"/>
      <c r="HJ255" s="33"/>
      <c r="HK255" s="33"/>
      <c r="HL255" s="33"/>
      <c r="HM255" s="33"/>
      <c r="HN255" s="33"/>
      <c r="HO255" s="33"/>
      <c r="HP255" s="33"/>
      <c r="HQ255" s="33"/>
      <c r="HR255" s="33"/>
      <c r="HS255" s="33"/>
      <c r="HT255" s="33"/>
      <c r="HU255" s="33"/>
      <c r="HV255" s="33"/>
      <c r="HW255" s="33"/>
      <c r="HX255" s="33"/>
      <c r="HY255" s="33"/>
      <c r="HZ255" s="33"/>
      <c r="IA255" s="33"/>
      <c r="IB255" s="33"/>
      <c r="IC255" s="33"/>
      <c r="ID255" s="33"/>
      <c r="IE255" s="33"/>
      <c r="IF255" s="33"/>
      <c r="IG255" s="33"/>
      <c r="IH255" s="33"/>
      <c r="II255" s="33"/>
      <c r="IJ255" s="33"/>
      <c r="IK255" s="33"/>
      <c r="IL255" s="33"/>
      <c r="IM255" s="33"/>
    </row>
    <row r="256" spans="1:247" ht="17.25" customHeight="1">
      <c r="A256" s="66" t="str">
        <f t="shared" ca="1" si="69"/>
        <v>6.1.3</v>
      </c>
      <c r="B256" s="177" t="s">
        <v>192</v>
      </c>
      <c r="C256" s="113" t="s">
        <v>187</v>
      </c>
      <c r="D256" s="64">
        <v>42127</v>
      </c>
      <c r="E256" s="64">
        <v>42128</v>
      </c>
      <c r="F256" s="65"/>
      <c r="G256" s="68"/>
      <c r="H256" s="65">
        <f t="shared" si="62"/>
        <v>1</v>
      </c>
      <c r="I256" s="78"/>
      <c r="J256" s="65"/>
      <c r="K256" s="77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33"/>
      <c r="HG256" s="33"/>
      <c r="HH256" s="33"/>
      <c r="HI256" s="33"/>
      <c r="HJ256" s="33"/>
      <c r="HK256" s="33"/>
      <c r="HL256" s="33"/>
      <c r="HM256" s="33"/>
      <c r="HN256" s="33"/>
      <c r="HO256" s="33"/>
      <c r="HP256" s="33"/>
      <c r="HQ256" s="33"/>
      <c r="HR256" s="33"/>
      <c r="HS256" s="33"/>
      <c r="HT256" s="33"/>
      <c r="HU256" s="33"/>
      <c r="HV256" s="33"/>
      <c r="HW256" s="33"/>
      <c r="HX256" s="33"/>
      <c r="HY256" s="33"/>
      <c r="HZ256" s="33"/>
      <c r="IA256" s="33"/>
      <c r="IB256" s="33"/>
      <c r="IC256" s="33"/>
      <c r="ID256" s="33"/>
      <c r="IE256" s="33"/>
      <c r="IF256" s="33"/>
      <c r="IG256" s="33"/>
      <c r="IH256" s="33"/>
      <c r="II256" s="33"/>
      <c r="IJ256" s="33"/>
      <c r="IK256" s="33"/>
      <c r="IL256" s="33"/>
      <c r="IM256" s="33"/>
    </row>
    <row r="257" spans="1:247" ht="17.25" customHeight="1">
      <c r="A257" s="66" t="str">
        <f ca="1">IF(ISERROR(VALUE(SUBSTITUTE(OFFSET(A257,-1,0,1,1),".",""))),"0.0.1",IF(ISERROR(FIND("`",SUBSTITUTE(OFFSET(A257,-1,0,1,1),".","`",2))),OFFSET(A257,-1,0,1,1)&amp;".1",LEFT(OFFSET(A257,-1,0,1,1),FIND("`",SUBSTITUTE(OFFSET(A257,-1,0,1,1),".","`",2)))&amp;IF(ISERROR(FIND("`",SUBSTITUTE(OFFSET(A257,-1,0,1,1),".","`",3))),VALUE(RIGHT(OFFSET(A257,-1,0,1,1),LEN(OFFSET(A257,-1,0,1,1))-FIND("`",SUBSTITUTE(OFFSET(A257,-1,0,1,1),".","`",2))))+1,VALUE(MID(OFFSET(A257,-1,0,1,1),FIND("`",SUBSTITUTE(OFFSET(A257,-1,0,1,1),".","`",2))+1,(FIND("`",SUBSTITUTE(OFFSET(A257,-1,0,1,1),".","`",3))-FIND("`",SUBSTITUTE(OFFSET(A257,-1,0,1,1),".","`",2))-1)))+1)))</f>
        <v>6.1.4</v>
      </c>
      <c r="B257" s="177" t="s">
        <v>193</v>
      </c>
      <c r="C257" s="113" t="s">
        <v>187</v>
      </c>
      <c r="D257" s="64">
        <v>42121</v>
      </c>
      <c r="E257" s="64">
        <v>42122</v>
      </c>
      <c r="F257" s="65"/>
      <c r="G257" s="68"/>
      <c r="H257" s="65">
        <f t="shared" si="62"/>
        <v>2</v>
      </c>
      <c r="I257" s="78">
        <f t="shared" si="64"/>
        <v>0</v>
      </c>
      <c r="J257" s="65">
        <f t="shared" si="70"/>
        <v>0</v>
      </c>
      <c r="K257" s="77">
        <v>100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  <c r="GC257" s="33"/>
      <c r="GD257" s="33"/>
      <c r="GE257" s="33"/>
      <c r="GF257" s="33"/>
      <c r="GG257" s="33"/>
      <c r="GH257" s="33"/>
      <c r="GI257" s="33"/>
      <c r="GJ257" s="33"/>
      <c r="GK257" s="33"/>
      <c r="GL257" s="33"/>
      <c r="GM257" s="33"/>
      <c r="GN257" s="33"/>
      <c r="GO257" s="33"/>
      <c r="GP257" s="33"/>
      <c r="GQ257" s="33"/>
      <c r="GR257" s="33"/>
      <c r="GS257" s="33"/>
      <c r="GT257" s="33"/>
      <c r="GU257" s="33"/>
      <c r="GV257" s="33"/>
      <c r="GW257" s="33"/>
      <c r="GX257" s="33"/>
      <c r="GY257" s="33"/>
      <c r="GZ257" s="33"/>
      <c r="HA257" s="33"/>
      <c r="HB257" s="33"/>
      <c r="HC257" s="33"/>
      <c r="HD257" s="33"/>
      <c r="HE257" s="33"/>
      <c r="HF257" s="33"/>
      <c r="HG257" s="33"/>
      <c r="HH257" s="33"/>
      <c r="HI257" s="33"/>
      <c r="HJ257" s="33"/>
      <c r="HK257" s="33"/>
      <c r="HL257" s="33"/>
      <c r="HM257" s="33"/>
      <c r="HN257" s="33"/>
      <c r="HO257" s="33"/>
      <c r="HP257" s="33"/>
      <c r="HQ257" s="33"/>
      <c r="HR257" s="33"/>
      <c r="HS257" s="33"/>
      <c r="HT257" s="33"/>
      <c r="HU257" s="33"/>
      <c r="HV257" s="33"/>
      <c r="HW257" s="33"/>
      <c r="HX257" s="33"/>
      <c r="HY257" s="33"/>
      <c r="HZ257" s="33"/>
      <c r="IA257" s="33"/>
      <c r="IB257" s="33"/>
      <c r="IC257" s="33"/>
      <c r="ID257" s="33"/>
      <c r="IE257" s="33"/>
      <c r="IF257" s="33"/>
      <c r="IG257" s="33"/>
      <c r="IH257" s="33"/>
      <c r="II257" s="33"/>
      <c r="IJ257" s="33"/>
      <c r="IK257" s="33"/>
      <c r="IL257" s="33"/>
      <c r="IM257" s="33"/>
    </row>
    <row r="258" spans="1:247" ht="17.25" customHeight="1">
      <c r="A258" s="66" t="str">
        <f ca="1">IF(ISERROR(VALUE(SUBSTITUTE(OFFSET(A258,-1,0,1,1),".",""))),"0.0.1",IF(ISERROR(FIND("`",SUBSTITUTE(OFFSET(A258,-1,0,1,1),".","`",2))),OFFSET(A258,-1,0,1,1)&amp;".1",LEFT(OFFSET(A258,-1,0,1,1),FIND("`",SUBSTITUTE(OFFSET(A258,-1,0,1,1),".","`",2)))&amp;IF(ISERROR(FIND("`",SUBSTITUTE(OFFSET(A258,-1,0,1,1),".","`",3))),VALUE(RIGHT(OFFSET(A258,-1,0,1,1),LEN(OFFSET(A258,-1,0,1,1))-FIND("`",SUBSTITUTE(OFFSET(A258,-1,0,1,1),".","`",2))))+1,VALUE(MID(OFFSET(A258,-1,0,1,1),FIND("`",SUBSTITUTE(OFFSET(A258,-1,0,1,1),".","`",2))+1,(FIND("`",SUBSTITUTE(OFFSET(A258,-1,0,1,1),".","`",3))-FIND("`",SUBSTITUTE(OFFSET(A258,-1,0,1,1),".","`",2))-1)))+1)))</f>
        <v>6.1.5</v>
      </c>
      <c r="B258" s="177" t="s">
        <v>191</v>
      </c>
      <c r="C258" s="113" t="s">
        <v>187</v>
      </c>
      <c r="D258" s="64">
        <v>42119</v>
      </c>
      <c r="E258" s="64">
        <v>42120</v>
      </c>
      <c r="F258" s="65"/>
      <c r="G258" s="68"/>
      <c r="H258" s="65">
        <f>NETWORKDAYS(D258,E258)</f>
        <v>0</v>
      </c>
      <c r="I258" s="78">
        <f t="shared" si="64"/>
        <v>0</v>
      </c>
      <c r="J258" s="65">
        <f t="shared" si="70"/>
        <v>0</v>
      </c>
      <c r="K258" s="77">
        <v>100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  <c r="GC258" s="33"/>
      <c r="GD258" s="33"/>
      <c r="GE258" s="33"/>
      <c r="GF258" s="33"/>
      <c r="GG258" s="33"/>
      <c r="GH258" s="33"/>
      <c r="GI258" s="33"/>
      <c r="GJ258" s="33"/>
      <c r="GK258" s="33"/>
      <c r="GL258" s="33"/>
      <c r="GM258" s="33"/>
      <c r="GN258" s="33"/>
      <c r="GO258" s="33"/>
      <c r="GP258" s="33"/>
      <c r="GQ258" s="33"/>
      <c r="GR258" s="33"/>
      <c r="GS258" s="33"/>
      <c r="GT258" s="33"/>
      <c r="GU258" s="33"/>
      <c r="GV258" s="33"/>
      <c r="GW258" s="33"/>
      <c r="GX258" s="33"/>
      <c r="GY258" s="33"/>
      <c r="GZ258" s="33"/>
      <c r="HA258" s="33"/>
      <c r="HB258" s="33"/>
      <c r="HC258" s="33"/>
      <c r="HD258" s="33"/>
      <c r="HE258" s="33"/>
      <c r="HF258" s="33"/>
      <c r="HG258" s="33"/>
      <c r="HH258" s="33"/>
      <c r="HI258" s="33"/>
      <c r="HJ258" s="33"/>
      <c r="HK258" s="33"/>
      <c r="HL258" s="33"/>
      <c r="HM258" s="33"/>
      <c r="HN258" s="33"/>
      <c r="HO258" s="33"/>
      <c r="HP258" s="33"/>
      <c r="HQ258" s="33"/>
      <c r="HR258" s="33"/>
      <c r="HS258" s="33"/>
      <c r="HT258" s="33"/>
      <c r="HU258" s="33"/>
      <c r="HV258" s="33"/>
      <c r="HW258" s="33"/>
      <c r="HX258" s="33"/>
      <c r="HY258" s="33"/>
      <c r="HZ258" s="33"/>
      <c r="IA258" s="33"/>
      <c r="IB258" s="33"/>
      <c r="IC258" s="33"/>
      <c r="ID258" s="33"/>
      <c r="IE258" s="33"/>
      <c r="IF258" s="33"/>
      <c r="IG258" s="33"/>
      <c r="IH258" s="33"/>
      <c r="II258" s="33"/>
      <c r="IJ258" s="33"/>
      <c r="IK258" s="33"/>
      <c r="IL258" s="33"/>
      <c r="IM258" s="33"/>
    </row>
    <row r="259" spans="1:247" ht="17.25" customHeight="1">
      <c r="A259" s="66" t="str">
        <f t="shared" ref="A259:A262" ca="1" si="71">IF(ISERROR(VALUE(SUBSTITUTE(OFFSET(A259,-1,0,1,1),".",""))),"0.0.1",IF(ISERROR(FIND("`",SUBSTITUTE(OFFSET(A259,-1,0,1,1),".","`",2))),OFFSET(A259,-1,0,1,1)&amp;".1",LEFT(OFFSET(A259,-1,0,1,1),FIND("`",SUBSTITUTE(OFFSET(A259,-1,0,1,1),".","`",2)))&amp;IF(ISERROR(FIND("`",SUBSTITUTE(OFFSET(A259,-1,0,1,1),".","`",3))),VALUE(RIGHT(OFFSET(A259,-1,0,1,1),LEN(OFFSET(A259,-1,0,1,1))-FIND("`",SUBSTITUTE(OFFSET(A259,-1,0,1,1),".","`",2))))+1,VALUE(MID(OFFSET(A259,-1,0,1,1),FIND("`",SUBSTITUTE(OFFSET(A259,-1,0,1,1),".","`",2))+1,(FIND("`",SUBSTITUTE(OFFSET(A259,-1,0,1,1),".","`",3))-FIND("`",SUBSTITUTE(OFFSET(A259,-1,0,1,1),".","`",2))-1)))+1)))</f>
        <v>6.1.6</v>
      </c>
      <c r="B259" s="177" t="s">
        <v>181</v>
      </c>
      <c r="C259" s="113" t="s">
        <v>187</v>
      </c>
      <c r="D259" s="64">
        <v>42119</v>
      </c>
      <c r="E259" s="64">
        <v>42120</v>
      </c>
      <c r="F259" s="65"/>
      <c r="G259" s="68"/>
      <c r="H259" s="65"/>
      <c r="I259" s="78"/>
      <c r="J259" s="65"/>
      <c r="K259" s="77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  <c r="GC259" s="33"/>
      <c r="GD259" s="33"/>
      <c r="GE259" s="33"/>
      <c r="GF259" s="33"/>
      <c r="GG259" s="33"/>
      <c r="GH259" s="33"/>
      <c r="GI259" s="33"/>
      <c r="GJ259" s="33"/>
      <c r="GK259" s="33"/>
      <c r="GL259" s="33"/>
      <c r="GM259" s="33"/>
      <c r="GN259" s="33"/>
      <c r="GO259" s="33"/>
      <c r="GP259" s="33"/>
      <c r="GQ259" s="33"/>
      <c r="GR259" s="33"/>
      <c r="GS259" s="33"/>
      <c r="GT259" s="33"/>
      <c r="GU259" s="33"/>
      <c r="GV259" s="33"/>
      <c r="GW259" s="33"/>
      <c r="GX259" s="33"/>
      <c r="GY259" s="33"/>
      <c r="GZ259" s="33"/>
      <c r="HA259" s="33"/>
      <c r="HB259" s="33"/>
      <c r="HC259" s="33"/>
      <c r="HD259" s="33"/>
      <c r="HE259" s="33"/>
      <c r="HF259" s="33"/>
      <c r="HG259" s="33"/>
      <c r="HH259" s="33"/>
      <c r="HI259" s="33"/>
      <c r="HJ259" s="33"/>
      <c r="HK259" s="33"/>
      <c r="HL259" s="33"/>
      <c r="HM259" s="33"/>
      <c r="HN259" s="33"/>
      <c r="HO259" s="33"/>
      <c r="HP259" s="33"/>
      <c r="HQ259" s="33"/>
      <c r="HR259" s="33"/>
      <c r="HS259" s="33"/>
      <c r="HT259" s="33"/>
      <c r="HU259" s="33"/>
      <c r="HV259" s="33"/>
      <c r="HW259" s="33"/>
      <c r="HX259" s="33"/>
      <c r="HY259" s="33"/>
      <c r="HZ259" s="33"/>
      <c r="IA259" s="33"/>
      <c r="IB259" s="33"/>
      <c r="IC259" s="33"/>
      <c r="ID259" s="33"/>
      <c r="IE259" s="33"/>
      <c r="IF259" s="33"/>
      <c r="IG259" s="33"/>
      <c r="IH259" s="33"/>
      <c r="II259" s="33"/>
      <c r="IJ259" s="33"/>
      <c r="IK259" s="33"/>
      <c r="IL259" s="33"/>
      <c r="IM259" s="33"/>
    </row>
    <row r="260" spans="1:247" ht="17.25" customHeight="1">
      <c r="A260" s="66" t="str">
        <f t="shared" ca="1" si="71"/>
        <v>6.1.7</v>
      </c>
      <c r="B260" s="177" t="s">
        <v>189</v>
      </c>
      <c r="C260" s="113" t="s">
        <v>187</v>
      </c>
      <c r="D260" s="64"/>
      <c r="E260" s="64"/>
      <c r="F260" s="65"/>
      <c r="G260" s="68"/>
      <c r="H260" s="65">
        <f t="shared" ref="H260" si="72">NETWORKDAYS(D260,E260)</f>
        <v>0</v>
      </c>
      <c r="I260" s="78">
        <f t="shared" ref="I260" si="73">ROUNDDOWN(G260*F260,0)</f>
        <v>0</v>
      </c>
      <c r="J260" s="65">
        <f>F260-I260</f>
        <v>0</v>
      </c>
      <c r="K260" s="77">
        <v>100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  <c r="GC260" s="33"/>
      <c r="GD260" s="33"/>
      <c r="GE260" s="33"/>
      <c r="GF260" s="33"/>
      <c r="GG260" s="33"/>
      <c r="GH260" s="33"/>
      <c r="GI260" s="33"/>
      <c r="GJ260" s="33"/>
      <c r="GK260" s="33"/>
      <c r="GL260" s="33"/>
      <c r="GM260" s="33"/>
      <c r="GN260" s="33"/>
      <c r="GO260" s="33"/>
      <c r="GP260" s="33"/>
      <c r="GQ260" s="33"/>
      <c r="GR260" s="33"/>
      <c r="GS260" s="33"/>
      <c r="GT260" s="33"/>
      <c r="GU260" s="33"/>
      <c r="GV260" s="33"/>
      <c r="GW260" s="33"/>
      <c r="GX260" s="33"/>
      <c r="GY260" s="33"/>
      <c r="GZ260" s="33"/>
      <c r="HA260" s="33"/>
      <c r="HB260" s="33"/>
      <c r="HC260" s="33"/>
      <c r="HD260" s="33"/>
      <c r="HE260" s="33"/>
      <c r="HF260" s="33"/>
      <c r="HG260" s="33"/>
      <c r="HH260" s="33"/>
      <c r="HI260" s="33"/>
      <c r="HJ260" s="33"/>
      <c r="HK260" s="33"/>
      <c r="HL260" s="33"/>
      <c r="HM260" s="33"/>
      <c r="HN260" s="33"/>
      <c r="HO260" s="33"/>
      <c r="HP260" s="33"/>
      <c r="HQ260" s="33"/>
      <c r="HR260" s="33"/>
      <c r="HS260" s="33"/>
      <c r="HT260" s="33"/>
      <c r="HU260" s="33"/>
      <c r="HV260" s="33"/>
      <c r="HW260" s="33"/>
      <c r="HX260" s="33"/>
      <c r="HY260" s="33"/>
      <c r="HZ260" s="33"/>
      <c r="IA260" s="33"/>
      <c r="IB260" s="33"/>
      <c r="IC260" s="33"/>
      <c r="ID260" s="33"/>
      <c r="IE260" s="33"/>
      <c r="IF260" s="33"/>
      <c r="IG260" s="33"/>
      <c r="IH260" s="33"/>
      <c r="II260" s="33"/>
      <c r="IJ260" s="33"/>
      <c r="IK260" s="33"/>
      <c r="IL260" s="33"/>
      <c r="IM260" s="33"/>
    </row>
    <row r="261" spans="1:247" ht="17.25" customHeight="1">
      <c r="A261" s="66" t="str">
        <f t="shared" ca="1" si="71"/>
        <v>6.1.8</v>
      </c>
      <c r="B261" s="177" t="s">
        <v>184</v>
      </c>
      <c r="C261" s="113" t="s">
        <v>187</v>
      </c>
      <c r="D261" s="64">
        <v>42117</v>
      </c>
      <c r="E261" s="64">
        <v>42118</v>
      </c>
      <c r="F261" s="65"/>
      <c r="G261" s="68"/>
      <c r="H261" s="65"/>
      <c r="I261" s="78"/>
      <c r="J261" s="65"/>
      <c r="K261" s="77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  <c r="GC261" s="33"/>
      <c r="GD261" s="33"/>
      <c r="GE261" s="33"/>
      <c r="GF261" s="33"/>
      <c r="GG261" s="33"/>
      <c r="GH261" s="33"/>
      <c r="GI261" s="33"/>
      <c r="GJ261" s="33"/>
      <c r="GK261" s="33"/>
      <c r="GL261" s="33"/>
      <c r="GM261" s="33"/>
      <c r="GN261" s="33"/>
      <c r="GO261" s="33"/>
      <c r="GP261" s="33"/>
      <c r="GQ261" s="33"/>
      <c r="GR261" s="33"/>
      <c r="GS261" s="33"/>
      <c r="GT261" s="33"/>
      <c r="GU261" s="33"/>
      <c r="GV261" s="33"/>
      <c r="GW261" s="33"/>
      <c r="GX261" s="33"/>
      <c r="GY261" s="33"/>
      <c r="GZ261" s="33"/>
      <c r="HA261" s="33"/>
      <c r="HB261" s="33"/>
      <c r="HC261" s="33"/>
      <c r="HD261" s="33"/>
      <c r="HE261" s="33"/>
      <c r="HF261" s="33"/>
      <c r="HG261" s="33"/>
      <c r="HH261" s="33"/>
      <c r="HI261" s="33"/>
      <c r="HJ261" s="33"/>
      <c r="HK261" s="33"/>
      <c r="HL261" s="33"/>
      <c r="HM261" s="33"/>
      <c r="HN261" s="33"/>
      <c r="HO261" s="33"/>
      <c r="HP261" s="33"/>
      <c r="HQ261" s="33"/>
      <c r="HR261" s="33"/>
      <c r="HS261" s="33"/>
      <c r="HT261" s="33"/>
      <c r="HU261" s="33"/>
      <c r="HV261" s="33"/>
      <c r="HW261" s="33"/>
      <c r="HX261" s="33"/>
      <c r="HY261" s="33"/>
      <c r="HZ261" s="33"/>
      <c r="IA261" s="33"/>
      <c r="IB261" s="33"/>
      <c r="IC261" s="33"/>
      <c r="ID261" s="33"/>
      <c r="IE261" s="33"/>
      <c r="IF261" s="33"/>
      <c r="IG261" s="33"/>
      <c r="IH261" s="33"/>
      <c r="II261" s="33"/>
      <c r="IJ261" s="33"/>
      <c r="IK261" s="33"/>
      <c r="IL261" s="33"/>
      <c r="IM261" s="33"/>
    </row>
    <row r="262" spans="1:247" ht="34.5" customHeight="1">
      <c r="A262" s="66" t="str">
        <f t="shared" ca="1" si="71"/>
        <v>6.1.9</v>
      </c>
      <c r="B262" s="177" t="s">
        <v>195</v>
      </c>
      <c r="C262" s="113" t="s">
        <v>187</v>
      </c>
      <c r="D262" s="64">
        <v>42115</v>
      </c>
      <c r="E262" s="64">
        <v>42116</v>
      </c>
      <c r="F262" s="65"/>
      <c r="G262" s="68"/>
      <c r="H262" s="65">
        <f t="shared" si="62"/>
        <v>2</v>
      </c>
      <c r="I262" s="78">
        <f>ROUNDDOWN(G262*F262,0)</f>
        <v>0</v>
      </c>
      <c r="J262" s="65">
        <f>F262-I262</f>
        <v>0</v>
      </c>
      <c r="K262" s="77">
        <v>100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  <c r="GC262" s="33"/>
      <c r="GD262" s="33"/>
      <c r="GE262" s="33"/>
      <c r="GF262" s="33"/>
      <c r="GG262" s="33"/>
      <c r="GH262" s="33"/>
      <c r="GI262" s="33"/>
      <c r="GJ262" s="33"/>
      <c r="GK262" s="33"/>
      <c r="GL262" s="33"/>
      <c r="GM262" s="33"/>
      <c r="GN262" s="33"/>
      <c r="GO262" s="33"/>
      <c r="GP262" s="33"/>
      <c r="GQ262" s="33"/>
      <c r="GR262" s="33"/>
      <c r="GS262" s="33"/>
      <c r="GT262" s="33"/>
      <c r="GU262" s="33"/>
      <c r="GV262" s="33"/>
      <c r="GW262" s="33"/>
      <c r="GX262" s="33"/>
      <c r="GY262" s="33"/>
      <c r="GZ262" s="33"/>
      <c r="HA262" s="33"/>
      <c r="HB262" s="33"/>
      <c r="HC262" s="33"/>
      <c r="HD262" s="33"/>
      <c r="HE262" s="33"/>
      <c r="HF262" s="33"/>
      <c r="HG262" s="33"/>
      <c r="HH262" s="33"/>
      <c r="HI262" s="33"/>
      <c r="HJ262" s="33"/>
      <c r="HK262" s="33"/>
      <c r="HL262" s="33"/>
      <c r="HM262" s="33"/>
      <c r="HN262" s="33"/>
      <c r="HO262" s="33"/>
      <c r="HP262" s="33"/>
      <c r="HQ262" s="33"/>
      <c r="HR262" s="33"/>
      <c r="HS262" s="33"/>
      <c r="HT262" s="33"/>
      <c r="HU262" s="33"/>
      <c r="HV262" s="33"/>
      <c r="HW262" s="33"/>
      <c r="HX262" s="33"/>
      <c r="HY262" s="33"/>
      <c r="HZ262" s="33"/>
      <c r="IA262" s="33"/>
      <c r="IB262" s="33"/>
      <c r="IC262" s="33"/>
      <c r="ID262" s="33"/>
      <c r="IE262" s="33"/>
      <c r="IF262" s="33"/>
      <c r="IG262" s="33"/>
      <c r="IH262" s="33"/>
      <c r="II262" s="33"/>
      <c r="IJ262" s="33"/>
      <c r="IK262" s="33"/>
      <c r="IL262" s="33"/>
      <c r="IM262" s="33"/>
    </row>
    <row r="263" spans="1:247" ht="17.25" customHeight="1">
      <c r="A263" s="66">
        <v>6.2</v>
      </c>
      <c r="B263" s="115" t="s">
        <v>142</v>
      </c>
      <c r="C263" s="114" t="s">
        <v>188</v>
      </c>
      <c r="D263" s="64">
        <v>42136</v>
      </c>
      <c r="E263" s="64">
        <v>42158</v>
      </c>
      <c r="F263" s="65"/>
      <c r="G263" s="68"/>
      <c r="H263" s="65">
        <f t="shared" si="62"/>
        <v>17</v>
      </c>
      <c r="I263" s="78">
        <f>ROUNDDOWN(G263*F263,0)</f>
        <v>0</v>
      </c>
      <c r="J263" s="65">
        <f>F263-I263</f>
        <v>0</v>
      </c>
      <c r="K263" s="77">
        <v>100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  <c r="GC263" s="33"/>
      <c r="GD263" s="33"/>
      <c r="GE263" s="33"/>
      <c r="GF263" s="33"/>
      <c r="GG263" s="33"/>
      <c r="GH263" s="33"/>
      <c r="GI263" s="33"/>
      <c r="GJ263" s="33"/>
      <c r="GK263" s="33"/>
      <c r="GL263" s="33"/>
      <c r="GM263" s="33"/>
      <c r="GN263" s="33"/>
      <c r="GO263" s="33"/>
      <c r="GP263" s="33"/>
      <c r="GQ263" s="33"/>
      <c r="GR263" s="33"/>
      <c r="GS263" s="33"/>
      <c r="GT263" s="33"/>
      <c r="GU263" s="33"/>
      <c r="GV263" s="33"/>
      <c r="GW263" s="33"/>
      <c r="GX263" s="33"/>
      <c r="GY263" s="33"/>
      <c r="GZ263" s="33"/>
      <c r="HA263" s="33"/>
      <c r="HB263" s="33"/>
      <c r="HC263" s="33"/>
      <c r="HD263" s="33"/>
      <c r="HE263" s="33"/>
      <c r="HF263" s="33"/>
      <c r="HG263" s="33"/>
      <c r="HH263" s="33"/>
      <c r="HI263" s="33"/>
      <c r="HJ263" s="33"/>
      <c r="HK263" s="33"/>
      <c r="HL263" s="33"/>
      <c r="HM263" s="33"/>
      <c r="HN263" s="33"/>
      <c r="HO263" s="33"/>
      <c r="HP263" s="33"/>
      <c r="HQ263" s="33"/>
      <c r="HR263" s="33"/>
      <c r="HS263" s="33"/>
      <c r="HT263" s="33"/>
      <c r="HU263" s="33"/>
      <c r="HV263" s="33"/>
      <c r="HW263" s="33"/>
      <c r="HX263" s="33"/>
      <c r="HY263" s="33"/>
      <c r="HZ263" s="33"/>
      <c r="IA263" s="33"/>
      <c r="IB263" s="33"/>
      <c r="IC263" s="33"/>
      <c r="ID263" s="33"/>
      <c r="IE263" s="33"/>
      <c r="IF263" s="33"/>
      <c r="IG263" s="33"/>
      <c r="IH263" s="33"/>
      <c r="II263" s="33"/>
      <c r="IJ263" s="33"/>
      <c r="IK263" s="33"/>
      <c r="IL263" s="33"/>
      <c r="IM263" s="33"/>
    </row>
    <row r="264" spans="1:247" ht="17.25" customHeight="1">
      <c r="A264" s="66" t="str">
        <f t="shared" ca="1" si="69"/>
        <v>6.2.1</v>
      </c>
      <c r="B264" s="180" t="s">
        <v>196</v>
      </c>
      <c r="C264" s="114"/>
      <c r="D264" s="64"/>
      <c r="E264" s="64"/>
      <c r="F264" s="65"/>
      <c r="G264" s="68"/>
      <c r="H264" s="65">
        <f t="shared" si="62"/>
        <v>0</v>
      </c>
      <c r="I264" s="78">
        <f>ROUNDDOWN(G264*F264,0)</f>
        <v>0</v>
      </c>
      <c r="J264" s="65">
        <f>F264-I264</f>
        <v>0</v>
      </c>
      <c r="K264" s="77">
        <v>100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  <c r="GC264" s="33"/>
      <c r="GD264" s="33"/>
      <c r="GE264" s="33"/>
      <c r="GF264" s="33"/>
      <c r="GG264" s="33"/>
      <c r="GH264" s="33"/>
      <c r="GI264" s="33"/>
      <c r="GJ264" s="33"/>
      <c r="GK264" s="33"/>
      <c r="GL264" s="33"/>
      <c r="GM264" s="33"/>
      <c r="GN264" s="33"/>
      <c r="GO264" s="33"/>
      <c r="GP264" s="33"/>
      <c r="GQ264" s="33"/>
      <c r="GR264" s="33"/>
      <c r="GS264" s="33"/>
      <c r="GT264" s="33"/>
      <c r="GU264" s="33"/>
      <c r="GV264" s="33"/>
      <c r="GW264" s="33"/>
      <c r="GX264" s="33"/>
      <c r="GY264" s="33"/>
      <c r="GZ264" s="33"/>
      <c r="HA264" s="33"/>
      <c r="HB264" s="33"/>
      <c r="HC264" s="33"/>
      <c r="HD264" s="33"/>
      <c r="HE264" s="33"/>
      <c r="HF264" s="33"/>
      <c r="HG264" s="33"/>
      <c r="HH264" s="33"/>
      <c r="HI264" s="33"/>
      <c r="HJ264" s="33"/>
      <c r="HK264" s="33"/>
      <c r="HL264" s="33"/>
      <c r="HM264" s="33"/>
      <c r="HN264" s="33"/>
      <c r="HO264" s="33"/>
      <c r="HP264" s="33"/>
      <c r="HQ264" s="33"/>
      <c r="HR264" s="33"/>
      <c r="HS264" s="33"/>
      <c r="HT264" s="33"/>
      <c r="HU264" s="33"/>
      <c r="HV264" s="33"/>
      <c r="HW264" s="33"/>
      <c r="HX264" s="33"/>
      <c r="HY264" s="33"/>
      <c r="HZ264" s="33"/>
      <c r="IA264" s="33"/>
      <c r="IB264" s="33"/>
      <c r="IC264" s="33"/>
      <c r="ID264" s="33"/>
      <c r="IE264" s="33"/>
      <c r="IF264" s="33"/>
      <c r="IG264" s="33"/>
      <c r="IH264" s="33"/>
      <c r="II264" s="33"/>
      <c r="IJ264" s="33"/>
      <c r="IK264" s="33"/>
      <c r="IL264" s="33"/>
      <c r="IM264" s="33"/>
    </row>
    <row r="265" spans="1:247" ht="17.25" customHeight="1">
      <c r="A265" s="66" t="str">
        <f t="shared" ca="1" si="69"/>
        <v>6.2.2</v>
      </c>
      <c r="B265" s="180" t="s">
        <v>110</v>
      </c>
      <c r="C265" s="114"/>
      <c r="D265" s="64"/>
      <c r="E265" s="64"/>
      <c r="F265" s="65"/>
      <c r="G265" s="68"/>
      <c r="H265" s="65">
        <f t="shared" si="62"/>
        <v>0</v>
      </c>
      <c r="I265" s="78">
        <f>ROUNDDOWN(G265*F265,0)</f>
        <v>0</v>
      </c>
      <c r="J265" s="65">
        <f>F265-I265</f>
        <v>0</v>
      </c>
      <c r="K265" s="77">
        <v>100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  <c r="GS265" s="33"/>
      <c r="GT265" s="33"/>
      <c r="GU265" s="33"/>
      <c r="GV265" s="33"/>
      <c r="GW265" s="33"/>
      <c r="GX265" s="33"/>
      <c r="GY265" s="33"/>
      <c r="GZ265" s="33"/>
      <c r="HA265" s="33"/>
      <c r="HB265" s="33"/>
      <c r="HC265" s="33"/>
      <c r="HD265" s="33"/>
      <c r="HE265" s="33"/>
      <c r="HF265" s="33"/>
      <c r="HG265" s="33"/>
      <c r="HH265" s="33"/>
      <c r="HI265" s="33"/>
      <c r="HJ265" s="33"/>
      <c r="HK265" s="33"/>
      <c r="HL265" s="33"/>
      <c r="HM265" s="33"/>
      <c r="HN265" s="33"/>
      <c r="HO265" s="33"/>
      <c r="HP265" s="33"/>
      <c r="HQ265" s="33"/>
      <c r="HR265" s="33"/>
      <c r="HS265" s="33"/>
      <c r="HT265" s="33"/>
      <c r="HU265" s="33"/>
      <c r="HV265" s="33"/>
      <c r="HW265" s="33"/>
      <c r="HX265" s="33"/>
      <c r="HY265" s="33"/>
      <c r="HZ265" s="33"/>
      <c r="IA265" s="33"/>
      <c r="IB265" s="33"/>
      <c r="IC265" s="33"/>
      <c r="ID265" s="33"/>
      <c r="IE265" s="33"/>
      <c r="IF265" s="33"/>
      <c r="IG265" s="33"/>
      <c r="IH265" s="33"/>
      <c r="II265" s="33"/>
      <c r="IJ265" s="33"/>
      <c r="IK265" s="33"/>
      <c r="IL265" s="33"/>
      <c r="IM265" s="33"/>
    </row>
    <row r="266" spans="1:247" ht="17.25" customHeight="1">
      <c r="A266" s="66" t="str">
        <f t="shared" ca="1" si="69"/>
        <v>6.2.3</v>
      </c>
      <c r="B266" s="180" t="s">
        <v>199</v>
      </c>
      <c r="C266" s="114"/>
      <c r="D266" s="64"/>
      <c r="E266" s="64"/>
      <c r="F266" s="65"/>
      <c r="G266" s="68"/>
      <c r="H266" s="65">
        <f t="shared" si="62"/>
        <v>0</v>
      </c>
      <c r="I266" s="78">
        <f>ROUNDDOWN(G266*F266,0)</f>
        <v>0</v>
      </c>
      <c r="J266" s="65">
        <f>F266-I266</f>
        <v>0</v>
      </c>
      <c r="K266" s="77">
        <v>100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  <c r="GC266" s="33"/>
      <c r="GD266" s="33"/>
      <c r="GE266" s="33"/>
      <c r="GF266" s="33"/>
      <c r="GG266" s="33"/>
      <c r="GH266" s="33"/>
      <c r="GI266" s="33"/>
      <c r="GJ266" s="33"/>
      <c r="GK266" s="33"/>
      <c r="GL266" s="33"/>
      <c r="GM266" s="33"/>
      <c r="GN266" s="33"/>
      <c r="GO266" s="33"/>
      <c r="GP266" s="33"/>
      <c r="GQ266" s="33"/>
      <c r="GR266" s="33"/>
      <c r="GS266" s="33"/>
      <c r="GT266" s="33"/>
      <c r="GU266" s="33"/>
      <c r="GV266" s="33"/>
      <c r="GW266" s="33"/>
      <c r="GX266" s="33"/>
      <c r="GY266" s="33"/>
      <c r="GZ266" s="33"/>
      <c r="HA266" s="33"/>
      <c r="HB266" s="33"/>
      <c r="HC266" s="33"/>
      <c r="HD266" s="33"/>
      <c r="HE266" s="33"/>
      <c r="HF266" s="33"/>
      <c r="HG266" s="33"/>
      <c r="HH266" s="33"/>
      <c r="HI266" s="33"/>
      <c r="HJ266" s="33"/>
      <c r="HK266" s="33"/>
      <c r="HL266" s="33"/>
      <c r="HM266" s="33"/>
      <c r="HN266" s="33"/>
      <c r="HO266" s="33"/>
      <c r="HP266" s="33"/>
      <c r="HQ266" s="33"/>
      <c r="HR266" s="33"/>
      <c r="HS266" s="33"/>
      <c r="HT266" s="33"/>
      <c r="HU266" s="33"/>
      <c r="HV266" s="33"/>
      <c r="HW266" s="33"/>
      <c r="HX266" s="33"/>
      <c r="HY266" s="33"/>
      <c r="HZ266" s="33"/>
      <c r="IA266" s="33"/>
      <c r="IB266" s="33"/>
      <c r="IC266" s="33"/>
      <c r="ID266" s="33"/>
      <c r="IE266" s="33"/>
      <c r="IF266" s="33"/>
      <c r="IG266" s="33"/>
      <c r="IH266" s="33"/>
      <c r="II266" s="33"/>
      <c r="IJ266" s="33"/>
      <c r="IK266" s="33"/>
      <c r="IL266" s="33"/>
      <c r="IM266" s="33"/>
    </row>
    <row r="267" spans="1:247" ht="17.25" customHeight="1">
      <c r="A267" s="66" t="str">
        <f t="shared" ca="1" si="69"/>
        <v>6.2.4</v>
      </c>
      <c r="B267" s="180" t="s">
        <v>197</v>
      </c>
      <c r="C267" s="113"/>
      <c r="D267" s="64"/>
      <c r="E267" s="64"/>
      <c r="F267" s="65"/>
      <c r="G267" s="68"/>
      <c r="H267" s="65"/>
      <c r="I267" s="78"/>
      <c r="J267" s="65"/>
      <c r="K267" s="77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  <c r="GC267" s="33"/>
      <c r="GD267" s="33"/>
      <c r="GE267" s="33"/>
      <c r="GF267" s="33"/>
      <c r="GG267" s="33"/>
      <c r="GH267" s="33"/>
      <c r="GI267" s="33"/>
      <c r="GJ267" s="33"/>
      <c r="GK267" s="33"/>
      <c r="GL267" s="33"/>
      <c r="GM267" s="33"/>
      <c r="GN267" s="33"/>
      <c r="GO267" s="33"/>
      <c r="GP267" s="33"/>
      <c r="GQ267" s="33"/>
      <c r="GR267" s="33"/>
      <c r="GS267" s="33"/>
      <c r="GT267" s="33"/>
      <c r="GU267" s="33"/>
      <c r="GV267" s="33"/>
      <c r="GW267" s="33"/>
      <c r="GX267" s="33"/>
      <c r="GY267" s="33"/>
      <c r="GZ267" s="33"/>
      <c r="HA267" s="33"/>
      <c r="HB267" s="33"/>
      <c r="HC267" s="33"/>
      <c r="HD267" s="33"/>
      <c r="HE267" s="33"/>
      <c r="HF267" s="33"/>
      <c r="HG267" s="33"/>
      <c r="HH267" s="33"/>
      <c r="HI267" s="33"/>
      <c r="HJ267" s="33"/>
      <c r="HK267" s="33"/>
      <c r="HL267" s="33"/>
      <c r="HM267" s="33"/>
      <c r="HN267" s="33"/>
      <c r="HO267" s="33"/>
      <c r="HP267" s="33"/>
      <c r="HQ267" s="33"/>
      <c r="HR267" s="33"/>
      <c r="HS267" s="33"/>
      <c r="HT267" s="33"/>
      <c r="HU267" s="33"/>
      <c r="HV267" s="33"/>
      <c r="HW267" s="33"/>
      <c r="HX267" s="33"/>
      <c r="HY267" s="33"/>
      <c r="HZ267" s="33"/>
      <c r="IA267" s="33"/>
      <c r="IB267" s="33"/>
      <c r="IC267" s="33"/>
      <c r="ID267" s="33"/>
      <c r="IE267" s="33"/>
      <c r="IF267" s="33"/>
      <c r="IG267" s="33"/>
      <c r="IH267" s="33"/>
      <c r="II267" s="33"/>
      <c r="IJ267" s="33"/>
      <c r="IK267" s="33"/>
      <c r="IL267" s="33"/>
      <c r="IM267" s="33"/>
    </row>
    <row r="268" spans="1:247" ht="17.25" customHeight="1">
      <c r="A268" s="66" t="str">
        <f t="shared" ca="1" si="69"/>
        <v>6.2.5</v>
      </c>
      <c r="B268" s="180" t="s">
        <v>198</v>
      </c>
      <c r="C268" s="114"/>
      <c r="D268" s="64"/>
      <c r="E268" s="64"/>
      <c r="F268" s="65"/>
      <c r="G268" s="68"/>
      <c r="H268" s="65"/>
      <c r="I268" s="78"/>
      <c r="J268" s="65"/>
      <c r="K268" s="77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  <c r="GC268" s="33"/>
      <c r="GD268" s="33"/>
      <c r="GE268" s="33"/>
      <c r="GF268" s="33"/>
      <c r="GG268" s="33"/>
      <c r="GH268" s="33"/>
      <c r="GI268" s="33"/>
      <c r="GJ268" s="33"/>
      <c r="GK268" s="33"/>
      <c r="GL268" s="33"/>
      <c r="GM268" s="33"/>
      <c r="GN268" s="33"/>
      <c r="GO268" s="33"/>
      <c r="GP268" s="33"/>
      <c r="GQ268" s="33"/>
      <c r="GR268" s="33"/>
      <c r="GS268" s="33"/>
      <c r="GT268" s="33"/>
      <c r="GU268" s="33"/>
      <c r="GV268" s="33"/>
      <c r="GW268" s="33"/>
      <c r="GX268" s="33"/>
      <c r="GY268" s="33"/>
      <c r="GZ268" s="33"/>
      <c r="HA268" s="33"/>
      <c r="HB268" s="33"/>
      <c r="HC268" s="33"/>
      <c r="HD268" s="33"/>
      <c r="HE268" s="33"/>
      <c r="HF268" s="33"/>
      <c r="HG268" s="33"/>
      <c r="HH268" s="33"/>
      <c r="HI268" s="33"/>
      <c r="HJ268" s="33"/>
      <c r="HK268" s="33"/>
      <c r="HL268" s="33"/>
      <c r="HM268" s="33"/>
      <c r="HN268" s="33"/>
      <c r="HO268" s="33"/>
      <c r="HP268" s="33"/>
      <c r="HQ268" s="33"/>
      <c r="HR268" s="33"/>
      <c r="HS268" s="33"/>
      <c r="HT268" s="33"/>
      <c r="HU268" s="33"/>
      <c r="HV268" s="33"/>
      <c r="HW268" s="33"/>
      <c r="HX268" s="33"/>
      <c r="HY268" s="33"/>
      <c r="HZ268" s="33"/>
      <c r="IA268" s="33"/>
      <c r="IB268" s="33"/>
      <c r="IC268" s="33"/>
      <c r="ID268" s="33"/>
      <c r="IE268" s="33"/>
      <c r="IF268" s="33"/>
      <c r="IG268" s="33"/>
      <c r="IH268" s="33"/>
      <c r="II268" s="33"/>
      <c r="IJ268" s="33"/>
      <c r="IK268" s="33"/>
      <c r="IL268" s="33"/>
      <c r="IM268" s="33"/>
    </row>
    <row r="269" spans="1:247" ht="17.25" customHeight="1">
      <c r="A269" s="66">
        <v>6.3</v>
      </c>
      <c r="B269" s="108" t="s">
        <v>169</v>
      </c>
      <c r="C269" s="64"/>
      <c r="D269" s="64"/>
      <c r="E269" s="65"/>
      <c r="F269" s="68"/>
      <c r="G269" s="65">
        <f t="shared" si="62"/>
        <v>0</v>
      </c>
      <c r="H269" s="78">
        <f t="shared" ref="H269:H270" si="74">ROUNDDOWN(F269*E269,0)</f>
        <v>0</v>
      </c>
      <c r="I269" s="65">
        <f>E269-H269</f>
        <v>0</v>
      </c>
      <c r="J269" s="77">
        <v>100</v>
      </c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  <c r="GS269" s="33"/>
      <c r="GT269" s="33"/>
      <c r="GU269" s="33"/>
      <c r="GV269" s="33"/>
      <c r="GW269" s="33"/>
      <c r="GX269" s="33"/>
      <c r="GY269" s="33"/>
      <c r="GZ269" s="33"/>
      <c r="HA269" s="33"/>
      <c r="HB269" s="33"/>
      <c r="HC269" s="33"/>
      <c r="HD269" s="33"/>
      <c r="HE269" s="33"/>
      <c r="HF269" s="33"/>
      <c r="HG269" s="33"/>
      <c r="HH269" s="33"/>
      <c r="HI269" s="33"/>
      <c r="HJ269" s="33"/>
      <c r="HK269" s="33"/>
      <c r="HL269" s="33"/>
      <c r="HM269" s="33"/>
      <c r="HN269" s="33"/>
      <c r="HO269" s="33"/>
      <c r="HP269" s="33"/>
      <c r="HQ269" s="33"/>
      <c r="HR269" s="33"/>
      <c r="HS269" s="33"/>
      <c r="HT269" s="33"/>
      <c r="HU269" s="33"/>
      <c r="HV269" s="33"/>
      <c r="HW269" s="33"/>
      <c r="HX269" s="33"/>
      <c r="HY269" s="33"/>
      <c r="HZ269" s="33"/>
      <c r="IA269" s="33"/>
      <c r="IB269" s="33"/>
      <c r="IC269" s="33"/>
      <c r="ID269" s="33"/>
      <c r="IE269" s="33"/>
      <c r="IF269" s="33"/>
      <c r="IG269" s="33"/>
      <c r="IH269" s="33"/>
      <c r="II269" s="33"/>
      <c r="IJ269" s="33"/>
      <c r="IK269" s="33"/>
      <c r="IL269" s="33"/>
    </row>
    <row r="270" spans="1:247" ht="17.25" customHeight="1">
      <c r="A270" s="66" t="str">
        <f t="shared" ca="1" si="69"/>
        <v>6.3.1</v>
      </c>
      <c r="B270" s="180" t="s">
        <v>172</v>
      </c>
      <c r="C270" s="114"/>
      <c r="D270" s="64">
        <v>42129</v>
      </c>
      <c r="E270" s="64">
        <v>42135</v>
      </c>
      <c r="F270" s="68"/>
      <c r="G270" s="65">
        <f t="shared" si="62"/>
        <v>30092</v>
      </c>
      <c r="H270" s="78">
        <f t="shared" si="74"/>
        <v>0</v>
      </c>
      <c r="I270" s="65">
        <f>E270-H270</f>
        <v>42135</v>
      </c>
      <c r="J270" s="77">
        <v>100</v>
      </c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  <c r="GC270" s="33"/>
      <c r="GD270" s="33"/>
      <c r="GE270" s="33"/>
      <c r="GF270" s="33"/>
      <c r="GG270" s="33"/>
      <c r="GH270" s="33"/>
      <c r="GI270" s="33"/>
      <c r="GJ270" s="33"/>
      <c r="GK270" s="33"/>
      <c r="GL270" s="33"/>
      <c r="GM270" s="33"/>
      <c r="GN270" s="33"/>
      <c r="GO270" s="33"/>
      <c r="GP270" s="33"/>
      <c r="GQ270" s="33"/>
      <c r="GR270" s="33"/>
      <c r="GS270" s="33"/>
      <c r="GT270" s="33"/>
      <c r="GU270" s="33"/>
      <c r="GV270" s="33"/>
      <c r="GW270" s="33"/>
      <c r="GX270" s="33"/>
      <c r="GY270" s="33"/>
      <c r="GZ270" s="33"/>
      <c r="HA270" s="33"/>
      <c r="HB270" s="33"/>
      <c r="HC270" s="33"/>
      <c r="HD270" s="33"/>
      <c r="HE270" s="33"/>
      <c r="HF270" s="33"/>
      <c r="HG270" s="33"/>
      <c r="HH270" s="33"/>
      <c r="HI270" s="33"/>
      <c r="HJ270" s="33"/>
      <c r="HK270" s="33"/>
      <c r="HL270" s="33"/>
      <c r="HM270" s="33"/>
      <c r="HN270" s="33"/>
      <c r="HO270" s="33"/>
      <c r="HP270" s="33"/>
      <c r="HQ270" s="33"/>
      <c r="HR270" s="33"/>
      <c r="HS270" s="33"/>
      <c r="HT270" s="33"/>
      <c r="HU270" s="33"/>
      <c r="HV270" s="33"/>
      <c r="HW270" s="33"/>
      <c r="HX270" s="33"/>
      <c r="HY270" s="33"/>
      <c r="HZ270" s="33"/>
      <c r="IA270" s="33"/>
      <c r="IB270" s="33"/>
      <c r="IC270" s="33"/>
      <c r="ID270" s="33"/>
      <c r="IE270" s="33"/>
      <c r="IF270" s="33"/>
      <c r="IG270" s="33"/>
      <c r="IH270" s="33"/>
      <c r="II270" s="33"/>
      <c r="IJ270" s="33"/>
      <c r="IK270" s="33"/>
      <c r="IL270" s="33"/>
    </row>
    <row r="271" spans="1:247" ht="17.25" customHeight="1">
      <c r="A271" s="66" t="str">
        <f t="shared" ca="1" si="69"/>
        <v>6.3.2</v>
      </c>
      <c r="B271" s="110" t="s">
        <v>147</v>
      </c>
      <c r="C271" s="98"/>
      <c r="D271" s="64">
        <v>42115</v>
      </c>
      <c r="E271" s="64">
        <v>42124</v>
      </c>
      <c r="F271" s="65"/>
      <c r="G271" s="68"/>
      <c r="H271" s="65">
        <f t="shared" si="62"/>
        <v>8</v>
      </c>
      <c r="I271" s="78">
        <f>ROUNDDOWN(G271*F271,0)</f>
        <v>0</v>
      </c>
      <c r="J271" s="65">
        <f>F271-I271</f>
        <v>0</v>
      </c>
      <c r="K271" s="77">
        <v>100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  <c r="GC271" s="33"/>
      <c r="GD271" s="33"/>
      <c r="GE271" s="33"/>
      <c r="GF271" s="33"/>
      <c r="GG271" s="33"/>
      <c r="GH271" s="33"/>
      <c r="GI271" s="33"/>
      <c r="GJ271" s="33"/>
      <c r="GK271" s="33"/>
      <c r="GL271" s="33"/>
      <c r="GM271" s="33"/>
      <c r="GN271" s="33"/>
      <c r="GO271" s="33"/>
      <c r="GP271" s="33"/>
      <c r="GQ271" s="33"/>
      <c r="GR271" s="33"/>
      <c r="GS271" s="33"/>
      <c r="GT271" s="33"/>
      <c r="GU271" s="33"/>
      <c r="GV271" s="33"/>
      <c r="GW271" s="33"/>
      <c r="GX271" s="33"/>
      <c r="GY271" s="33"/>
      <c r="GZ271" s="33"/>
      <c r="HA271" s="33"/>
      <c r="HB271" s="33"/>
      <c r="HC271" s="33"/>
      <c r="HD271" s="33"/>
      <c r="HE271" s="33"/>
      <c r="HF271" s="33"/>
      <c r="HG271" s="33"/>
      <c r="HH271" s="33"/>
      <c r="HI271" s="33"/>
      <c r="HJ271" s="33"/>
      <c r="HK271" s="33"/>
      <c r="HL271" s="33"/>
      <c r="HM271" s="33"/>
      <c r="HN271" s="33"/>
      <c r="HO271" s="33"/>
      <c r="HP271" s="33"/>
      <c r="HQ271" s="33"/>
      <c r="HR271" s="33"/>
      <c r="HS271" s="33"/>
      <c r="HT271" s="33"/>
      <c r="HU271" s="33"/>
      <c r="HV271" s="33"/>
      <c r="HW271" s="33"/>
      <c r="HX271" s="33"/>
      <c r="HY271" s="33"/>
      <c r="HZ271" s="33"/>
      <c r="IA271" s="33"/>
      <c r="IB271" s="33"/>
      <c r="IC271" s="33"/>
      <c r="ID271" s="33"/>
      <c r="IE271" s="33"/>
      <c r="IF271" s="33"/>
      <c r="IG271" s="33"/>
      <c r="IH271" s="33"/>
      <c r="II271" s="33"/>
      <c r="IJ271" s="33"/>
      <c r="IK271" s="33"/>
      <c r="IL271" s="33"/>
      <c r="IM271" s="33"/>
    </row>
    <row r="272" spans="1:247" ht="17.25" customHeight="1">
      <c r="A272" s="66" t="str">
        <f t="shared" ca="1" si="69"/>
        <v>6.3.3</v>
      </c>
      <c r="B272" s="177" t="s">
        <v>173</v>
      </c>
      <c r="C272" s="98"/>
      <c r="D272" s="64">
        <v>42115</v>
      </c>
      <c r="E272" s="64">
        <v>42116</v>
      </c>
      <c r="F272" s="65"/>
      <c r="G272" s="68"/>
      <c r="H272" s="65"/>
      <c r="I272" s="78"/>
      <c r="J272" s="65"/>
      <c r="K272" s="77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  <c r="GC272" s="33"/>
      <c r="GD272" s="33"/>
      <c r="GE272" s="33"/>
      <c r="GF272" s="33"/>
      <c r="GG272" s="33"/>
      <c r="GH272" s="33"/>
      <c r="GI272" s="33"/>
      <c r="GJ272" s="33"/>
      <c r="GK272" s="33"/>
      <c r="GL272" s="33"/>
      <c r="GM272" s="33"/>
      <c r="GN272" s="33"/>
      <c r="GO272" s="33"/>
      <c r="GP272" s="33"/>
      <c r="GQ272" s="33"/>
      <c r="GR272" s="33"/>
      <c r="GS272" s="33"/>
      <c r="GT272" s="33"/>
      <c r="GU272" s="33"/>
      <c r="GV272" s="33"/>
      <c r="GW272" s="33"/>
      <c r="GX272" s="33"/>
      <c r="GY272" s="33"/>
      <c r="GZ272" s="33"/>
      <c r="HA272" s="33"/>
      <c r="HB272" s="33"/>
      <c r="HC272" s="33"/>
      <c r="HD272" s="33"/>
      <c r="HE272" s="33"/>
      <c r="HF272" s="33"/>
      <c r="HG272" s="33"/>
      <c r="HH272" s="33"/>
      <c r="HI272" s="33"/>
      <c r="HJ272" s="33"/>
      <c r="HK272" s="33"/>
      <c r="HL272" s="33"/>
      <c r="HM272" s="33"/>
      <c r="HN272" s="33"/>
      <c r="HO272" s="33"/>
      <c r="HP272" s="33"/>
      <c r="HQ272" s="33"/>
      <c r="HR272" s="33"/>
      <c r="HS272" s="33"/>
      <c r="HT272" s="33"/>
      <c r="HU272" s="33"/>
      <c r="HV272" s="33"/>
      <c r="HW272" s="33"/>
      <c r="HX272" s="33"/>
      <c r="HY272" s="33"/>
      <c r="HZ272" s="33"/>
      <c r="IA272" s="33"/>
      <c r="IB272" s="33"/>
      <c r="IC272" s="33"/>
      <c r="ID272" s="33"/>
      <c r="IE272" s="33"/>
      <c r="IF272" s="33"/>
      <c r="IG272" s="33"/>
      <c r="IH272" s="33"/>
      <c r="II272" s="33"/>
      <c r="IJ272" s="33"/>
      <c r="IK272" s="33"/>
      <c r="IL272" s="33"/>
      <c r="IM272" s="33"/>
    </row>
    <row r="273" spans="1:247" ht="17.25" customHeight="1">
      <c r="A273" s="66" t="str">
        <f t="shared" ca="1" si="69"/>
        <v>6.3.4</v>
      </c>
      <c r="B273" s="177" t="s">
        <v>174</v>
      </c>
      <c r="C273" s="98"/>
      <c r="D273" s="64">
        <v>42117</v>
      </c>
      <c r="E273" s="64">
        <v>42118</v>
      </c>
      <c r="F273" s="65"/>
      <c r="G273" s="68"/>
      <c r="H273" s="65"/>
      <c r="I273" s="78"/>
      <c r="J273" s="65"/>
      <c r="K273" s="77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  <c r="GC273" s="33"/>
      <c r="GD273" s="33"/>
      <c r="GE273" s="33"/>
      <c r="GF273" s="33"/>
      <c r="GG273" s="33"/>
      <c r="GH273" s="33"/>
      <c r="GI273" s="33"/>
      <c r="GJ273" s="33"/>
      <c r="GK273" s="33"/>
      <c r="GL273" s="33"/>
      <c r="GM273" s="33"/>
      <c r="GN273" s="33"/>
      <c r="GO273" s="33"/>
      <c r="GP273" s="33"/>
      <c r="GQ273" s="33"/>
      <c r="GR273" s="33"/>
      <c r="GS273" s="33"/>
      <c r="GT273" s="33"/>
      <c r="GU273" s="33"/>
      <c r="GV273" s="33"/>
      <c r="GW273" s="33"/>
      <c r="GX273" s="33"/>
      <c r="GY273" s="33"/>
      <c r="GZ273" s="33"/>
      <c r="HA273" s="33"/>
      <c r="HB273" s="33"/>
      <c r="HC273" s="33"/>
      <c r="HD273" s="33"/>
      <c r="HE273" s="33"/>
      <c r="HF273" s="33"/>
      <c r="HG273" s="33"/>
      <c r="HH273" s="33"/>
      <c r="HI273" s="33"/>
      <c r="HJ273" s="33"/>
      <c r="HK273" s="33"/>
      <c r="HL273" s="33"/>
      <c r="HM273" s="33"/>
      <c r="HN273" s="33"/>
      <c r="HO273" s="33"/>
      <c r="HP273" s="33"/>
      <c r="HQ273" s="33"/>
      <c r="HR273" s="33"/>
      <c r="HS273" s="33"/>
      <c r="HT273" s="33"/>
      <c r="HU273" s="33"/>
      <c r="HV273" s="33"/>
      <c r="HW273" s="33"/>
      <c r="HX273" s="33"/>
      <c r="HY273" s="33"/>
      <c r="HZ273" s="33"/>
      <c r="IA273" s="33"/>
      <c r="IB273" s="33"/>
      <c r="IC273" s="33"/>
      <c r="ID273" s="33"/>
      <c r="IE273" s="33"/>
      <c r="IF273" s="33"/>
      <c r="IG273" s="33"/>
      <c r="IH273" s="33"/>
      <c r="II273" s="33"/>
      <c r="IJ273" s="33"/>
      <c r="IK273" s="33"/>
      <c r="IL273" s="33"/>
      <c r="IM273" s="33"/>
    </row>
    <row r="274" spans="1:247" ht="17.25" customHeight="1">
      <c r="A274" s="66" t="str">
        <f t="shared" ca="1" si="69"/>
        <v>6.3.5</v>
      </c>
      <c r="B274" s="177" t="s">
        <v>175</v>
      </c>
      <c r="C274" s="98"/>
      <c r="D274" s="64">
        <v>42119</v>
      </c>
      <c r="E274" s="64">
        <v>42120</v>
      </c>
      <c r="F274" s="65"/>
      <c r="G274" s="68"/>
      <c r="H274" s="65">
        <f t="shared" si="62"/>
        <v>0</v>
      </c>
      <c r="I274" s="78">
        <f t="shared" ref="I274:I287" si="75">ROUNDDOWN(G274*F274,0)</f>
        <v>0</v>
      </c>
      <c r="J274" s="65">
        <f t="shared" ref="J274:J287" si="76">F274-I274</f>
        <v>0</v>
      </c>
      <c r="K274" s="77">
        <v>100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  <c r="GC274" s="33"/>
      <c r="GD274" s="33"/>
      <c r="GE274" s="33"/>
      <c r="GF274" s="33"/>
      <c r="GG274" s="33"/>
      <c r="GH274" s="33"/>
      <c r="GI274" s="33"/>
      <c r="GJ274" s="33"/>
      <c r="GK274" s="33"/>
      <c r="GL274" s="33"/>
      <c r="GM274" s="33"/>
      <c r="GN274" s="33"/>
      <c r="GO274" s="33"/>
      <c r="GP274" s="33"/>
      <c r="GQ274" s="33"/>
      <c r="GR274" s="33"/>
      <c r="GS274" s="33"/>
      <c r="GT274" s="33"/>
      <c r="GU274" s="33"/>
      <c r="GV274" s="33"/>
      <c r="GW274" s="33"/>
      <c r="GX274" s="33"/>
      <c r="GY274" s="33"/>
      <c r="GZ274" s="33"/>
      <c r="HA274" s="33"/>
      <c r="HB274" s="33"/>
      <c r="HC274" s="33"/>
      <c r="HD274" s="33"/>
      <c r="HE274" s="33"/>
      <c r="HF274" s="33"/>
      <c r="HG274" s="33"/>
      <c r="HH274" s="33"/>
      <c r="HI274" s="33"/>
      <c r="HJ274" s="33"/>
      <c r="HK274" s="33"/>
      <c r="HL274" s="33"/>
      <c r="HM274" s="33"/>
      <c r="HN274" s="33"/>
      <c r="HO274" s="33"/>
      <c r="HP274" s="33"/>
      <c r="HQ274" s="33"/>
      <c r="HR274" s="33"/>
      <c r="HS274" s="33"/>
      <c r="HT274" s="33"/>
      <c r="HU274" s="33"/>
      <c r="HV274" s="33"/>
      <c r="HW274" s="33"/>
      <c r="HX274" s="33"/>
      <c r="HY274" s="33"/>
      <c r="HZ274" s="33"/>
      <c r="IA274" s="33"/>
      <c r="IB274" s="33"/>
      <c r="IC274" s="33"/>
      <c r="ID274" s="33"/>
      <c r="IE274" s="33"/>
      <c r="IF274" s="33"/>
      <c r="IG274" s="33"/>
      <c r="IH274" s="33"/>
      <c r="II274" s="33"/>
      <c r="IJ274" s="33"/>
      <c r="IK274" s="33"/>
      <c r="IL274" s="33"/>
      <c r="IM274" s="33"/>
    </row>
    <row r="275" spans="1:247" ht="17.25" customHeight="1">
      <c r="A275" s="66" t="str">
        <f t="shared" ca="1" si="69"/>
        <v>6.3.6</v>
      </c>
      <c r="B275" s="177" t="s">
        <v>200</v>
      </c>
      <c r="C275" s="98"/>
      <c r="D275" s="64">
        <v>42121</v>
      </c>
      <c r="E275" s="64">
        <v>42122</v>
      </c>
      <c r="F275" s="65"/>
      <c r="G275" s="68"/>
      <c r="H275" s="65"/>
      <c r="I275" s="78"/>
      <c r="J275" s="65"/>
      <c r="K275" s="77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  <c r="GC275" s="33"/>
      <c r="GD275" s="33"/>
      <c r="GE275" s="33"/>
      <c r="GF275" s="33"/>
      <c r="GG275" s="33"/>
      <c r="GH275" s="33"/>
      <c r="GI275" s="33"/>
      <c r="GJ275" s="33"/>
      <c r="GK275" s="33"/>
      <c r="GL275" s="33"/>
      <c r="GM275" s="33"/>
      <c r="GN275" s="33"/>
      <c r="GO275" s="33"/>
      <c r="GP275" s="33"/>
      <c r="GQ275" s="33"/>
      <c r="GR275" s="33"/>
      <c r="GS275" s="33"/>
      <c r="GT275" s="33"/>
      <c r="GU275" s="33"/>
      <c r="GV275" s="33"/>
      <c r="GW275" s="33"/>
      <c r="GX275" s="33"/>
      <c r="GY275" s="33"/>
      <c r="GZ275" s="33"/>
      <c r="HA275" s="33"/>
      <c r="HB275" s="33"/>
      <c r="HC275" s="33"/>
      <c r="HD275" s="33"/>
      <c r="HE275" s="33"/>
      <c r="HF275" s="33"/>
      <c r="HG275" s="33"/>
      <c r="HH275" s="33"/>
      <c r="HI275" s="33"/>
      <c r="HJ275" s="33"/>
      <c r="HK275" s="33"/>
      <c r="HL275" s="33"/>
      <c r="HM275" s="33"/>
      <c r="HN275" s="33"/>
      <c r="HO275" s="33"/>
      <c r="HP275" s="33"/>
      <c r="HQ275" s="33"/>
      <c r="HR275" s="33"/>
      <c r="HS275" s="33"/>
      <c r="HT275" s="33"/>
      <c r="HU275" s="33"/>
      <c r="HV275" s="33"/>
      <c r="HW275" s="33"/>
      <c r="HX275" s="33"/>
      <c r="HY275" s="33"/>
      <c r="HZ275" s="33"/>
      <c r="IA275" s="33"/>
      <c r="IB275" s="33"/>
      <c r="IC275" s="33"/>
      <c r="ID275" s="33"/>
      <c r="IE275" s="33"/>
      <c r="IF275" s="33"/>
      <c r="IG275" s="33"/>
      <c r="IH275" s="33"/>
      <c r="II275" s="33"/>
      <c r="IJ275" s="33"/>
      <c r="IK275" s="33"/>
      <c r="IL275" s="33"/>
      <c r="IM275" s="33"/>
    </row>
    <row r="276" spans="1:247" ht="17.25" customHeight="1">
      <c r="A276" s="66" t="str">
        <f t="shared" ca="1" si="69"/>
        <v>6.3.7</v>
      </c>
      <c r="B276" s="177" t="s">
        <v>201</v>
      </c>
      <c r="C276" s="98"/>
      <c r="D276" s="64">
        <v>42123</v>
      </c>
      <c r="E276" s="64">
        <v>42124</v>
      </c>
      <c r="F276" s="65"/>
      <c r="G276" s="68"/>
      <c r="H276" s="65"/>
      <c r="I276" s="78"/>
      <c r="J276" s="65"/>
      <c r="K276" s="77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  <c r="GC276" s="33"/>
      <c r="GD276" s="33"/>
      <c r="GE276" s="33"/>
      <c r="GF276" s="33"/>
      <c r="GG276" s="33"/>
      <c r="GH276" s="33"/>
      <c r="GI276" s="33"/>
      <c r="GJ276" s="33"/>
      <c r="GK276" s="33"/>
      <c r="GL276" s="33"/>
      <c r="GM276" s="33"/>
      <c r="GN276" s="33"/>
      <c r="GO276" s="33"/>
      <c r="GP276" s="33"/>
      <c r="GQ276" s="33"/>
      <c r="GR276" s="33"/>
      <c r="GS276" s="33"/>
      <c r="GT276" s="33"/>
      <c r="GU276" s="33"/>
      <c r="GV276" s="33"/>
      <c r="GW276" s="33"/>
      <c r="GX276" s="33"/>
      <c r="GY276" s="33"/>
      <c r="GZ276" s="33"/>
      <c r="HA276" s="33"/>
      <c r="HB276" s="33"/>
      <c r="HC276" s="33"/>
      <c r="HD276" s="33"/>
      <c r="HE276" s="33"/>
      <c r="HF276" s="33"/>
      <c r="HG276" s="33"/>
      <c r="HH276" s="33"/>
      <c r="HI276" s="33"/>
      <c r="HJ276" s="33"/>
      <c r="HK276" s="33"/>
      <c r="HL276" s="33"/>
      <c r="HM276" s="33"/>
      <c r="HN276" s="33"/>
      <c r="HO276" s="33"/>
      <c r="HP276" s="33"/>
      <c r="HQ276" s="33"/>
      <c r="HR276" s="33"/>
      <c r="HS276" s="33"/>
      <c r="HT276" s="33"/>
      <c r="HU276" s="33"/>
      <c r="HV276" s="33"/>
      <c r="HW276" s="33"/>
      <c r="HX276" s="33"/>
      <c r="HY276" s="33"/>
      <c r="HZ276" s="33"/>
      <c r="IA276" s="33"/>
      <c r="IB276" s="33"/>
      <c r="IC276" s="33"/>
      <c r="ID276" s="33"/>
      <c r="IE276" s="33"/>
      <c r="IF276" s="33"/>
      <c r="IG276" s="33"/>
      <c r="IH276" s="33"/>
      <c r="II276" s="33"/>
      <c r="IJ276" s="33"/>
      <c r="IK276" s="33"/>
      <c r="IL276" s="33"/>
      <c r="IM276" s="33"/>
    </row>
    <row r="277" spans="1:247" ht="17.25" customHeight="1">
      <c r="A277" s="66">
        <v>6.4</v>
      </c>
      <c r="B277" s="116" t="s">
        <v>182</v>
      </c>
      <c r="C277" s="98"/>
      <c r="D277" s="64">
        <v>42129</v>
      </c>
      <c r="E277" s="64">
        <v>42143</v>
      </c>
      <c r="F277" s="65"/>
      <c r="G277" s="68"/>
      <c r="H277" s="65">
        <f t="shared" si="62"/>
        <v>11</v>
      </c>
      <c r="I277" s="78">
        <f t="shared" si="75"/>
        <v>0</v>
      </c>
      <c r="J277" s="65">
        <f t="shared" si="76"/>
        <v>0</v>
      </c>
      <c r="K277" s="77">
        <v>100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  <c r="GC277" s="33"/>
      <c r="GD277" s="33"/>
      <c r="GE277" s="33"/>
      <c r="GF277" s="33"/>
      <c r="GG277" s="33"/>
      <c r="GH277" s="33"/>
      <c r="GI277" s="33"/>
      <c r="GJ277" s="33"/>
      <c r="GK277" s="33"/>
      <c r="GL277" s="33"/>
      <c r="GM277" s="33"/>
      <c r="GN277" s="33"/>
      <c r="GO277" s="33"/>
      <c r="GP277" s="33"/>
      <c r="GQ277" s="33"/>
      <c r="GR277" s="33"/>
      <c r="GS277" s="33"/>
      <c r="GT277" s="33"/>
      <c r="GU277" s="33"/>
      <c r="GV277" s="33"/>
      <c r="GW277" s="33"/>
      <c r="GX277" s="33"/>
      <c r="GY277" s="33"/>
      <c r="GZ277" s="33"/>
      <c r="HA277" s="33"/>
      <c r="HB277" s="33"/>
      <c r="HC277" s="33"/>
      <c r="HD277" s="33"/>
      <c r="HE277" s="33"/>
      <c r="HF277" s="33"/>
      <c r="HG277" s="33"/>
      <c r="HH277" s="33"/>
      <c r="HI277" s="33"/>
      <c r="HJ277" s="33"/>
      <c r="HK277" s="33"/>
      <c r="HL277" s="33"/>
      <c r="HM277" s="33"/>
      <c r="HN277" s="33"/>
      <c r="HO277" s="33"/>
      <c r="HP277" s="33"/>
      <c r="HQ277" s="33"/>
      <c r="HR277" s="33"/>
      <c r="HS277" s="33"/>
      <c r="HT277" s="33"/>
      <c r="HU277" s="33"/>
      <c r="HV277" s="33"/>
      <c r="HW277" s="33"/>
      <c r="HX277" s="33"/>
      <c r="HY277" s="33"/>
      <c r="HZ277" s="33"/>
      <c r="IA277" s="33"/>
      <c r="IB277" s="33"/>
      <c r="IC277" s="33"/>
      <c r="ID277" s="33"/>
      <c r="IE277" s="33"/>
      <c r="IF277" s="33"/>
      <c r="IG277" s="33"/>
      <c r="IH277" s="33"/>
      <c r="II277" s="33"/>
      <c r="IJ277" s="33"/>
      <c r="IK277" s="33"/>
      <c r="IL277" s="33"/>
      <c r="IM277" s="33"/>
    </row>
    <row r="278" spans="1:247" ht="17.25" customHeight="1">
      <c r="A278" s="66" t="str">
        <f t="shared" ca="1" si="69"/>
        <v>6.4.1</v>
      </c>
      <c r="B278" s="180" t="s">
        <v>176</v>
      </c>
      <c r="C278" s="114" t="s">
        <v>188</v>
      </c>
      <c r="D278" s="64"/>
      <c r="E278" s="64"/>
      <c r="F278" s="65"/>
      <c r="G278" s="68"/>
      <c r="H278" s="65">
        <f t="shared" si="62"/>
        <v>0</v>
      </c>
      <c r="I278" s="78">
        <f t="shared" si="75"/>
        <v>0</v>
      </c>
      <c r="J278" s="65">
        <f t="shared" si="76"/>
        <v>0</v>
      </c>
      <c r="K278" s="77">
        <v>100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  <c r="GC278" s="33"/>
      <c r="GD278" s="33"/>
      <c r="GE278" s="33"/>
      <c r="GF278" s="33"/>
      <c r="GG278" s="33"/>
      <c r="GH278" s="33"/>
      <c r="GI278" s="33"/>
      <c r="GJ278" s="33"/>
      <c r="GK278" s="33"/>
      <c r="GL278" s="33"/>
      <c r="GM278" s="33"/>
      <c r="GN278" s="33"/>
      <c r="GO278" s="33"/>
      <c r="GP278" s="33"/>
      <c r="GQ278" s="33"/>
      <c r="GR278" s="33"/>
      <c r="GS278" s="33"/>
      <c r="GT278" s="33"/>
      <c r="GU278" s="33"/>
      <c r="GV278" s="33"/>
      <c r="GW278" s="33"/>
      <c r="GX278" s="33"/>
      <c r="GY278" s="33"/>
      <c r="GZ278" s="33"/>
      <c r="HA278" s="33"/>
      <c r="HB278" s="33"/>
      <c r="HC278" s="33"/>
      <c r="HD278" s="33"/>
      <c r="HE278" s="33"/>
      <c r="HF278" s="33"/>
      <c r="HG278" s="33"/>
      <c r="HH278" s="33"/>
      <c r="HI278" s="33"/>
      <c r="HJ278" s="33"/>
      <c r="HK278" s="33"/>
      <c r="HL278" s="33"/>
      <c r="HM278" s="33"/>
      <c r="HN278" s="33"/>
      <c r="HO278" s="33"/>
      <c r="HP278" s="33"/>
      <c r="HQ278" s="33"/>
      <c r="HR278" s="33"/>
      <c r="HS278" s="33"/>
      <c r="HT278" s="33"/>
      <c r="HU278" s="33"/>
      <c r="HV278" s="33"/>
      <c r="HW278" s="33"/>
      <c r="HX278" s="33"/>
      <c r="HY278" s="33"/>
      <c r="HZ278" s="33"/>
      <c r="IA278" s="33"/>
      <c r="IB278" s="33"/>
      <c r="IC278" s="33"/>
      <c r="ID278" s="33"/>
      <c r="IE278" s="33"/>
      <c r="IF278" s="33"/>
      <c r="IG278" s="33"/>
      <c r="IH278" s="33"/>
      <c r="II278" s="33"/>
      <c r="IJ278" s="33"/>
      <c r="IK278" s="33"/>
      <c r="IL278" s="33"/>
      <c r="IM278" s="33"/>
    </row>
    <row r="279" spans="1:247" ht="17.25" customHeight="1">
      <c r="A279" s="66" t="str">
        <f t="shared" ca="1" si="69"/>
        <v>6.4.2</v>
      </c>
      <c r="B279" s="180" t="s">
        <v>202</v>
      </c>
      <c r="C279" s="114" t="s">
        <v>188</v>
      </c>
      <c r="D279" s="64"/>
      <c r="E279" s="64"/>
      <c r="F279" s="65"/>
      <c r="G279" s="68"/>
      <c r="H279" s="65">
        <f t="shared" si="62"/>
        <v>0</v>
      </c>
      <c r="I279" s="78">
        <f t="shared" si="75"/>
        <v>0</v>
      </c>
      <c r="J279" s="65">
        <f t="shared" si="76"/>
        <v>0</v>
      </c>
      <c r="K279" s="77">
        <v>100</v>
      </c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  <c r="GC279" s="33"/>
      <c r="GD279" s="33"/>
      <c r="GE279" s="33"/>
      <c r="GF279" s="33"/>
      <c r="GG279" s="33"/>
      <c r="GH279" s="33"/>
      <c r="GI279" s="33"/>
      <c r="GJ279" s="33"/>
      <c r="GK279" s="33"/>
      <c r="GL279" s="33"/>
      <c r="GM279" s="33"/>
      <c r="GN279" s="33"/>
      <c r="GO279" s="33"/>
      <c r="GP279" s="33"/>
      <c r="GQ279" s="33"/>
      <c r="GR279" s="33"/>
      <c r="GS279" s="33"/>
      <c r="GT279" s="33"/>
      <c r="GU279" s="33"/>
      <c r="GV279" s="33"/>
      <c r="GW279" s="33"/>
      <c r="GX279" s="33"/>
      <c r="GY279" s="33"/>
      <c r="GZ279" s="33"/>
      <c r="HA279" s="33"/>
      <c r="HB279" s="33"/>
      <c r="HC279" s="33"/>
      <c r="HD279" s="33"/>
      <c r="HE279" s="33"/>
      <c r="HF279" s="33"/>
      <c r="HG279" s="33"/>
      <c r="HH279" s="33"/>
      <c r="HI279" s="33"/>
      <c r="HJ279" s="33"/>
      <c r="HK279" s="33"/>
      <c r="HL279" s="33"/>
      <c r="HM279" s="33"/>
      <c r="HN279" s="33"/>
      <c r="HO279" s="33"/>
      <c r="HP279" s="33"/>
      <c r="HQ279" s="33"/>
      <c r="HR279" s="33"/>
      <c r="HS279" s="33"/>
      <c r="HT279" s="33"/>
      <c r="HU279" s="33"/>
      <c r="HV279" s="33"/>
      <c r="HW279" s="33"/>
      <c r="HX279" s="33"/>
      <c r="HY279" s="33"/>
      <c r="HZ279" s="33"/>
      <c r="IA279" s="33"/>
      <c r="IB279" s="33"/>
      <c r="IC279" s="33"/>
      <c r="ID279" s="33"/>
      <c r="IE279" s="33"/>
      <c r="IF279" s="33"/>
      <c r="IG279" s="33"/>
      <c r="IH279" s="33"/>
      <c r="II279" s="33"/>
      <c r="IJ279" s="33"/>
      <c r="IK279" s="33"/>
      <c r="IL279" s="33"/>
      <c r="IM279" s="33"/>
    </row>
    <row r="280" spans="1:247" ht="17.25" customHeight="1">
      <c r="A280" s="66" t="str">
        <f t="shared" ca="1" si="69"/>
        <v>6.4.3</v>
      </c>
      <c r="B280" s="180" t="s">
        <v>203</v>
      </c>
      <c r="C280" s="114" t="s">
        <v>188</v>
      </c>
      <c r="D280" s="64"/>
      <c r="E280" s="64"/>
      <c r="F280" s="65"/>
      <c r="G280" s="68"/>
      <c r="H280" s="65"/>
      <c r="I280" s="78"/>
      <c r="J280" s="65"/>
      <c r="K280" s="77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  <c r="GC280" s="33"/>
      <c r="GD280" s="33"/>
      <c r="GE280" s="33"/>
      <c r="GF280" s="33"/>
      <c r="GG280" s="33"/>
      <c r="GH280" s="33"/>
      <c r="GI280" s="33"/>
      <c r="GJ280" s="33"/>
      <c r="GK280" s="33"/>
      <c r="GL280" s="33"/>
      <c r="GM280" s="33"/>
      <c r="GN280" s="33"/>
      <c r="GO280" s="33"/>
      <c r="GP280" s="33"/>
      <c r="GQ280" s="33"/>
      <c r="GR280" s="33"/>
      <c r="GS280" s="33"/>
      <c r="GT280" s="33"/>
      <c r="GU280" s="33"/>
      <c r="GV280" s="33"/>
      <c r="GW280" s="33"/>
      <c r="GX280" s="33"/>
      <c r="GY280" s="33"/>
      <c r="GZ280" s="33"/>
      <c r="HA280" s="33"/>
      <c r="HB280" s="33"/>
      <c r="HC280" s="33"/>
      <c r="HD280" s="33"/>
      <c r="HE280" s="33"/>
      <c r="HF280" s="33"/>
      <c r="HG280" s="33"/>
      <c r="HH280" s="33"/>
      <c r="HI280" s="33"/>
      <c r="HJ280" s="33"/>
      <c r="HK280" s="33"/>
      <c r="HL280" s="33"/>
      <c r="HM280" s="33"/>
      <c r="HN280" s="33"/>
      <c r="HO280" s="33"/>
      <c r="HP280" s="33"/>
      <c r="HQ280" s="33"/>
      <c r="HR280" s="33"/>
      <c r="HS280" s="33"/>
      <c r="HT280" s="33"/>
      <c r="HU280" s="33"/>
      <c r="HV280" s="33"/>
      <c r="HW280" s="33"/>
      <c r="HX280" s="33"/>
      <c r="HY280" s="33"/>
      <c r="HZ280" s="33"/>
      <c r="IA280" s="33"/>
      <c r="IB280" s="33"/>
      <c r="IC280" s="33"/>
      <c r="ID280" s="33"/>
      <c r="IE280" s="33"/>
      <c r="IF280" s="33"/>
      <c r="IG280" s="33"/>
      <c r="IH280" s="33"/>
      <c r="II280" s="33"/>
      <c r="IJ280" s="33"/>
      <c r="IK280" s="33"/>
      <c r="IL280" s="33"/>
      <c r="IM280" s="33"/>
    </row>
    <row r="281" spans="1:247" ht="17.25" customHeight="1">
      <c r="A281" s="66">
        <v>6.5</v>
      </c>
      <c r="B281" s="116" t="s">
        <v>146</v>
      </c>
      <c r="C281" s="113"/>
      <c r="D281" s="64">
        <v>42144</v>
      </c>
      <c r="E281" s="64">
        <v>42158</v>
      </c>
      <c r="F281" s="65"/>
      <c r="G281" s="68"/>
      <c r="H281" s="65">
        <f t="shared" si="62"/>
        <v>11</v>
      </c>
      <c r="I281" s="78">
        <f t="shared" si="75"/>
        <v>0</v>
      </c>
      <c r="J281" s="65">
        <f t="shared" si="76"/>
        <v>0</v>
      </c>
      <c r="K281" s="77">
        <v>100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  <c r="GC281" s="33"/>
      <c r="GD281" s="33"/>
      <c r="GE281" s="33"/>
      <c r="GF281" s="33"/>
      <c r="GG281" s="33"/>
      <c r="GH281" s="33"/>
      <c r="GI281" s="33"/>
      <c r="GJ281" s="33"/>
      <c r="GK281" s="33"/>
      <c r="GL281" s="33"/>
      <c r="GM281" s="33"/>
      <c r="GN281" s="33"/>
      <c r="GO281" s="33"/>
      <c r="GP281" s="33"/>
      <c r="GQ281" s="33"/>
      <c r="GR281" s="33"/>
      <c r="GS281" s="33"/>
      <c r="GT281" s="33"/>
      <c r="GU281" s="33"/>
      <c r="GV281" s="33"/>
      <c r="GW281" s="33"/>
      <c r="GX281" s="33"/>
      <c r="GY281" s="33"/>
      <c r="GZ281" s="33"/>
      <c r="HA281" s="33"/>
      <c r="HB281" s="33"/>
      <c r="HC281" s="33"/>
      <c r="HD281" s="33"/>
      <c r="HE281" s="33"/>
      <c r="HF281" s="33"/>
      <c r="HG281" s="33"/>
      <c r="HH281" s="33"/>
      <c r="HI281" s="33"/>
      <c r="HJ281" s="33"/>
      <c r="HK281" s="33"/>
      <c r="HL281" s="33"/>
      <c r="HM281" s="33"/>
      <c r="HN281" s="33"/>
      <c r="HO281" s="33"/>
      <c r="HP281" s="33"/>
      <c r="HQ281" s="33"/>
      <c r="HR281" s="33"/>
      <c r="HS281" s="33"/>
      <c r="HT281" s="33"/>
      <c r="HU281" s="33"/>
      <c r="HV281" s="33"/>
      <c r="HW281" s="33"/>
      <c r="HX281" s="33"/>
      <c r="HY281" s="33"/>
      <c r="HZ281" s="33"/>
      <c r="IA281" s="33"/>
      <c r="IB281" s="33"/>
      <c r="IC281" s="33"/>
      <c r="ID281" s="33"/>
      <c r="IE281" s="33"/>
      <c r="IF281" s="33"/>
      <c r="IG281" s="33"/>
      <c r="IH281" s="33"/>
      <c r="II281" s="33"/>
      <c r="IJ281" s="33"/>
      <c r="IK281" s="33"/>
      <c r="IL281" s="33"/>
      <c r="IM281" s="33"/>
    </row>
    <row r="282" spans="1:247" ht="17.25" customHeight="1">
      <c r="A282" s="66" t="str">
        <f t="shared" ca="1" si="69"/>
        <v>6.5.1</v>
      </c>
      <c r="B282" s="180" t="s">
        <v>204</v>
      </c>
      <c r="C282" s="113" t="s">
        <v>187</v>
      </c>
      <c r="D282" s="64"/>
      <c r="E282" s="64"/>
      <c r="F282" s="65"/>
      <c r="G282" s="68"/>
      <c r="H282" s="65">
        <f t="shared" si="62"/>
        <v>0</v>
      </c>
      <c r="I282" s="78">
        <f t="shared" si="75"/>
        <v>0</v>
      </c>
      <c r="J282" s="65">
        <f t="shared" si="76"/>
        <v>0</v>
      </c>
      <c r="K282" s="77">
        <v>100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  <c r="GC282" s="33"/>
      <c r="GD282" s="33"/>
      <c r="GE282" s="33"/>
      <c r="GF282" s="33"/>
      <c r="GG282" s="33"/>
      <c r="GH282" s="33"/>
      <c r="GI282" s="33"/>
      <c r="GJ282" s="33"/>
      <c r="GK282" s="33"/>
      <c r="GL282" s="33"/>
      <c r="GM282" s="33"/>
      <c r="GN282" s="33"/>
      <c r="GO282" s="33"/>
      <c r="GP282" s="33"/>
      <c r="GQ282" s="33"/>
      <c r="GR282" s="33"/>
      <c r="GS282" s="33"/>
      <c r="GT282" s="33"/>
      <c r="GU282" s="33"/>
      <c r="GV282" s="33"/>
      <c r="GW282" s="33"/>
      <c r="GX282" s="33"/>
      <c r="GY282" s="33"/>
      <c r="GZ282" s="33"/>
      <c r="HA282" s="33"/>
      <c r="HB282" s="33"/>
      <c r="HC282" s="33"/>
      <c r="HD282" s="33"/>
      <c r="HE282" s="33"/>
      <c r="HF282" s="33"/>
      <c r="HG282" s="33"/>
      <c r="HH282" s="33"/>
      <c r="HI282" s="33"/>
      <c r="HJ282" s="33"/>
      <c r="HK282" s="33"/>
      <c r="HL282" s="33"/>
      <c r="HM282" s="33"/>
      <c r="HN282" s="33"/>
      <c r="HO282" s="33"/>
      <c r="HP282" s="33"/>
      <c r="HQ282" s="33"/>
      <c r="HR282" s="33"/>
      <c r="HS282" s="33"/>
      <c r="HT282" s="33"/>
      <c r="HU282" s="33"/>
      <c r="HV282" s="33"/>
      <c r="HW282" s="33"/>
      <c r="HX282" s="33"/>
      <c r="HY282" s="33"/>
      <c r="HZ282" s="33"/>
      <c r="IA282" s="33"/>
      <c r="IB282" s="33"/>
      <c r="IC282" s="33"/>
      <c r="ID282" s="33"/>
      <c r="IE282" s="33"/>
      <c r="IF282" s="33"/>
      <c r="IG282" s="33"/>
      <c r="IH282" s="33"/>
      <c r="II282" s="33"/>
      <c r="IJ282" s="33"/>
      <c r="IK282" s="33"/>
      <c r="IL282" s="33"/>
      <c r="IM282" s="33"/>
    </row>
    <row r="283" spans="1:247" ht="17.25" customHeight="1">
      <c r="A283" s="66" t="str">
        <f t="shared" ca="1" si="69"/>
        <v>6.5.2</v>
      </c>
      <c r="B283" s="180" t="s">
        <v>205</v>
      </c>
      <c r="C283" s="113" t="s">
        <v>187</v>
      </c>
      <c r="D283" s="64"/>
      <c r="E283" s="64"/>
      <c r="F283" s="65"/>
      <c r="G283" s="68"/>
      <c r="H283" s="65">
        <f t="shared" si="62"/>
        <v>0</v>
      </c>
      <c r="I283" s="78">
        <f t="shared" si="75"/>
        <v>0</v>
      </c>
      <c r="J283" s="65">
        <f t="shared" si="76"/>
        <v>0</v>
      </c>
      <c r="K283" s="77">
        <v>100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  <c r="GC283" s="33"/>
      <c r="GD283" s="33"/>
      <c r="GE283" s="33"/>
      <c r="GF283" s="33"/>
      <c r="GG283" s="33"/>
      <c r="GH283" s="33"/>
      <c r="GI283" s="33"/>
      <c r="GJ283" s="33"/>
      <c r="GK283" s="33"/>
      <c r="GL283" s="33"/>
      <c r="GM283" s="33"/>
      <c r="GN283" s="33"/>
      <c r="GO283" s="33"/>
      <c r="GP283" s="33"/>
      <c r="GQ283" s="33"/>
      <c r="GR283" s="33"/>
      <c r="GS283" s="33"/>
      <c r="GT283" s="33"/>
      <c r="GU283" s="33"/>
      <c r="GV283" s="33"/>
      <c r="GW283" s="33"/>
      <c r="GX283" s="33"/>
      <c r="GY283" s="33"/>
      <c r="GZ283" s="33"/>
      <c r="HA283" s="33"/>
      <c r="HB283" s="33"/>
      <c r="HC283" s="33"/>
      <c r="HD283" s="33"/>
      <c r="HE283" s="33"/>
      <c r="HF283" s="33"/>
      <c r="HG283" s="33"/>
      <c r="HH283" s="33"/>
      <c r="HI283" s="33"/>
      <c r="HJ283" s="33"/>
      <c r="HK283" s="33"/>
      <c r="HL283" s="33"/>
      <c r="HM283" s="33"/>
      <c r="HN283" s="33"/>
      <c r="HO283" s="33"/>
      <c r="HP283" s="33"/>
      <c r="HQ283" s="33"/>
      <c r="HR283" s="33"/>
      <c r="HS283" s="33"/>
      <c r="HT283" s="33"/>
      <c r="HU283" s="33"/>
      <c r="HV283" s="33"/>
      <c r="HW283" s="33"/>
      <c r="HX283" s="33"/>
      <c r="HY283" s="33"/>
      <c r="HZ283" s="33"/>
      <c r="IA283" s="33"/>
      <c r="IB283" s="33"/>
      <c r="IC283" s="33"/>
      <c r="ID283" s="33"/>
      <c r="IE283" s="33"/>
      <c r="IF283" s="33"/>
      <c r="IG283" s="33"/>
      <c r="IH283" s="33"/>
      <c r="II283" s="33"/>
      <c r="IJ283" s="33"/>
      <c r="IK283" s="33"/>
      <c r="IL283" s="33"/>
      <c r="IM283" s="33"/>
    </row>
    <row r="284" spans="1:247" ht="17.25" customHeight="1">
      <c r="A284" s="66" t="str">
        <f t="shared" ca="1" si="69"/>
        <v>6.5.3</v>
      </c>
      <c r="B284" s="180" t="s">
        <v>186</v>
      </c>
      <c r="C284" s="114"/>
      <c r="D284" s="64"/>
      <c r="E284" s="64"/>
      <c r="F284" s="65"/>
      <c r="G284" s="68"/>
      <c r="H284" s="65">
        <f t="shared" si="62"/>
        <v>0</v>
      </c>
      <c r="I284" s="78">
        <f t="shared" si="75"/>
        <v>0</v>
      </c>
      <c r="J284" s="65">
        <f t="shared" si="76"/>
        <v>0</v>
      </c>
      <c r="K284" s="77">
        <v>100</v>
      </c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  <c r="GS284" s="33"/>
      <c r="GT284" s="33"/>
      <c r="GU284" s="33"/>
      <c r="GV284" s="33"/>
      <c r="GW284" s="33"/>
      <c r="GX284" s="33"/>
      <c r="GY284" s="33"/>
      <c r="GZ284" s="33"/>
      <c r="HA284" s="33"/>
      <c r="HB284" s="33"/>
      <c r="HC284" s="33"/>
      <c r="HD284" s="33"/>
      <c r="HE284" s="33"/>
      <c r="HF284" s="33"/>
      <c r="HG284" s="33"/>
      <c r="HH284" s="33"/>
      <c r="HI284" s="33"/>
      <c r="HJ284" s="33"/>
      <c r="HK284" s="33"/>
      <c r="HL284" s="33"/>
      <c r="HM284" s="33"/>
      <c r="HN284" s="33"/>
      <c r="HO284" s="33"/>
      <c r="HP284" s="33"/>
      <c r="HQ284" s="33"/>
      <c r="HR284" s="33"/>
      <c r="HS284" s="33"/>
      <c r="HT284" s="33"/>
      <c r="HU284" s="33"/>
      <c r="HV284" s="33"/>
      <c r="HW284" s="33"/>
      <c r="HX284" s="33"/>
      <c r="HY284" s="33"/>
      <c r="HZ284" s="33"/>
      <c r="IA284" s="33"/>
      <c r="IB284" s="33"/>
      <c r="IC284" s="33"/>
      <c r="ID284" s="33"/>
      <c r="IE284" s="33"/>
      <c r="IF284" s="33"/>
      <c r="IG284" s="33"/>
      <c r="IH284" s="33"/>
      <c r="II284" s="33"/>
      <c r="IJ284" s="33"/>
      <c r="IK284" s="33"/>
      <c r="IL284" s="33"/>
      <c r="IM284" s="33"/>
    </row>
    <row r="285" spans="1:247" ht="17.25" customHeight="1">
      <c r="A285" s="66">
        <v>6.6</v>
      </c>
      <c r="B285" s="108" t="s">
        <v>170</v>
      </c>
      <c r="C285" s="114"/>
      <c r="D285" s="64"/>
      <c r="E285" s="64"/>
      <c r="F285" s="65"/>
      <c r="G285" s="68"/>
      <c r="H285" s="65">
        <f t="shared" si="62"/>
        <v>0</v>
      </c>
      <c r="I285" s="78">
        <f t="shared" si="75"/>
        <v>0</v>
      </c>
      <c r="J285" s="65">
        <f t="shared" si="76"/>
        <v>0</v>
      </c>
      <c r="K285" s="77">
        <v>100</v>
      </c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  <c r="GC285" s="33"/>
      <c r="GD285" s="33"/>
      <c r="GE285" s="33"/>
      <c r="GF285" s="33"/>
      <c r="GG285" s="33"/>
      <c r="GH285" s="33"/>
      <c r="GI285" s="33"/>
      <c r="GJ285" s="33"/>
      <c r="GK285" s="33"/>
      <c r="GL285" s="33"/>
      <c r="GM285" s="33"/>
      <c r="GN285" s="33"/>
      <c r="GO285" s="33"/>
      <c r="GP285" s="33"/>
      <c r="GQ285" s="33"/>
      <c r="GR285" s="33"/>
      <c r="GS285" s="33"/>
      <c r="GT285" s="33"/>
      <c r="GU285" s="33"/>
      <c r="GV285" s="33"/>
      <c r="GW285" s="33"/>
      <c r="GX285" s="33"/>
      <c r="GY285" s="33"/>
      <c r="GZ285" s="33"/>
      <c r="HA285" s="33"/>
      <c r="HB285" s="33"/>
      <c r="HC285" s="33"/>
      <c r="HD285" s="33"/>
      <c r="HE285" s="33"/>
      <c r="HF285" s="33"/>
      <c r="HG285" s="33"/>
      <c r="HH285" s="33"/>
      <c r="HI285" s="33"/>
      <c r="HJ285" s="33"/>
      <c r="HK285" s="33"/>
      <c r="HL285" s="33"/>
      <c r="HM285" s="33"/>
      <c r="HN285" s="33"/>
      <c r="HO285" s="33"/>
      <c r="HP285" s="33"/>
      <c r="HQ285" s="33"/>
      <c r="HR285" s="33"/>
      <c r="HS285" s="33"/>
      <c r="HT285" s="33"/>
      <c r="HU285" s="33"/>
      <c r="HV285" s="33"/>
      <c r="HW285" s="33"/>
      <c r="HX285" s="33"/>
      <c r="HY285" s="33"/>
      <c r="HZ285" s="33"/>
      <c r="IA285" s="33"/>
      <c r="IB285" s="33"/>
      <c r="IC285" s="33"/>
      <c r="ID285" s="33"/>
      <c r="IE285" s="33"/>
      <c r="IF285" s="33"/>
      <c r="IG285" s="33"/>
      <c r="IH285" s="33"/>
      <c r="II285" s="33"/>
      <c r="IJ285" s="33"/>
      <c r="IK285" s="33"/>
      <c r="IL285" s="33"/>
      <c r="IM285" s="33"/>
    </row>
    <row r="286" spans="1:247" ht="17.25" customHeight="1">
      <c r="A286" s="66" t="s">
        <v>207</v>
      </c>
      <c r="B286" s="181" t="s">
        <v>171</v>
      </c>
      <c r="C286" s="98"/>
      <c r="D286" s="64">
        <v>42159</v>
      </c>
      <c r="E286" s="64">
        <v>42176</v>
      </c>
      <c r="F286" s="65"/>
      <c r="G286" s="68"/>
      <c r="H286" s="65">
        <f t="shared" si="62"/>
        <v>12</v>
      </c>
      <c r="I286" s="78">
        <f t="shared" si="75"/>
        <v>0</v>
      </c>
      <c r="J286" s="65">
        <f t="shared" si="76"/>
        <v>0</v>
      </c>
      <c r="K286" s="77">
        <v>100</v>
      </c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  <c r="GS286" s="33"/>
      <c r="GT286" s="33"/>
      <c r="GU286" s="33"/>
      <c r="GV286" s="33"/>
      <c r="GW286" s="33"/>
      <c r="GX286" s="33"/>
      <c r="GY286" s="33"/>
      <c r="GZ286" s="33"/>
      <c r="HA286" s="33"/>
      <c r="HB286" s="33"/>
      <c r="HC286" s="33"/>
      <c r="HD286" s="33"/>
      <c r="HE286" s="33"/>
      <c r="HF286" s="33"/>
      <c r="HG286" s="33"/>
      <c r="HH286" s="33"/>
      <c r="HI286" s="33"/>
      <c r="HJ286" s="33"/>
      <c r="HK286" s="33"/>
      <c r="HL286" s="33"/>
      <c r="HM286" s="33"/>
      <c r="HN286" s="33"/>
      <c r="HO286" s="33"/>
      <c r="HP286" s="33"/>
      <c r="HQ286" s="33"/>
      <c r="HR286" s="33"/>
      <c r="HS286" s="33"/>
      <c r="HT286" s="33"/>
      <c r="HU286" s="33"/>
      <c r="HV286" s="33"/>
      <c r="HW286" s="33"/>
      <c r="HX286" s="33"/>
      <c r="HY286" s="33"/>
      <c r="HZ286" s="33"/>
      <c r="IA286" s="33"/>
      <c r="IB286" s="33"/>
      <c r="IC286" s="33"/>
      <c r="ID286" s="33"/>
      <c r="IE286" s="33"/>
      <c r="IF286" s="33"/>
      <c r="IG286" s="33"/>
      <c r="IH286" s="33"/>
      <c r="II286" s="33"/>
      <c r="IJ286" s="33"/>
      <c r="IK286" s="33"/>
      <c r="IL286" s="33"/>
      <c r="IM286" s="33"/>
    </row>
    <row r="287" spans="1:247" ht="17.25" customHeight="1">
      <c r="A287" s="66" t="str">
        <f t="shared" ca="1" si="69"/>
        <v>6.6.2</v>
      </c>
      <c r="B287" s="181" t="s">
        <v>190</v>
      </c>
      <c r="C287" s="98"/>
      <c r="D287" s="64"/>
      <c r="E287" s="64"/>
      <c r="F287" s="65"/>
      <c r="G287" s="68"/>
      <c r="H287" s="65">
        <f t="shared" si="62"/>
        <v>0</v>
      </c>
      <c r="I287" s="78">
        <f t="shared" si="75"/>
        <v>0</v>
      </c>
      <c r="J287" s="65">
        <f t="shared" si="76"/>
        <v>0</v>
      </c>
      <c r="K287" s="77">
        <v>100</v>
      </c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  <c r="GC287" s="33"/>
      <c r="GD287" s="33"/>
      <c r="GE287" s="33"/>
      <c r="GF287" s="33"/>
      <c r="GG287" s="33"/>
      <c r="GH287" s="33"/>
      <c r="GI287" s="33"/>
      <c r="GJ287" s="33"/>
      <c r="GK287" s="33"/>
      <c r="GL287" s="33"/>
      <c r="GM287" s="33"/>
      <c r="GN287" s="33"/>
      <c r="GO287" s="33"/>
      <c r="GP287" s="33"/>
      <c r="GQ287" s="33"/>
      <c r="GR287" s="33"/>
      <c r="GS287" s="33"/>
      <c r="GT287" s="33"/>
      <c r="GU287" s="33"/>
      <c r="GV287" s="33"/>
      <c r="GW287" s="33"/>
      <c r="GX287" s="33"/>
      <c r="GY287" s="33"/>
      <c r="GZ287" s="33"/>
      <c r="HA287" s="33"/>
      <c r="HB287" s="33"/>
      <c r="HC287" s="33"/>
      <c r="HD287" s="33"/>
      <c r="HE287" s="33"/>
      <c r="HF287" s="33"/>
      <c r="HG287" s="33"/>
      <c r="HH287" s="33"/>
      <c r="HI287" s="33"/>
      <c r="HJ287" s="33"/>
      <c r="HK287" s="33"/>
      <c r="HL287" s="33"/>
      <c r="HM287" s="33"/>
      <c r="HN287" s="33"/>
      <c r="HO287" s="33"/>
      <c r="HP287" s="33"/>
      <c r="HQ287" s="33"/>
      <c r="HR287" s="33"/>
      <c r="HS287" s="33"/>
      <c r="HT287" s="33"/>
      <c r="HU287" s="33"/>
      <c r="HV287" s="33"/>
      <c r="HW287" s="33"/>
      <c r="HX287" s="33"/>
      <c r="HY287" s="33"/>
      <c r="HZ287" s="33"/>
      <c r="IA287" s="33"/>
      <c r="IB287" s="33"/>
      <c r="IC287" s="33"/>
      <c r="ID287" s="33"/>
      <c r="IE287" s="33"/>
      <c r="IF287" s="33"/>
      <c r="IG287" s="33"/>
      <c r="IH287" s="33"/>
      <c r="II287" s="33"/>
      <c r="IJ287" s="33"/>
      <c r="IK287" s="33"/>
      <c r="IL287" s="33"/>
      <c r="IM287" s="33"/>
    </row>
    <row r="288" spans="1:247" ht="17.25" customHeight="1">
      <c r="A288" s="66" t="str">
        <f t="shared" ca="1" si="69"/>
        <v>6.6.3</v>
      </c>
      <c r="B288" s="182" t="s">
        <v>179</v>
      </c>
      <c r="C288" s="98"/>
      <c r="D288" s="64"/>
      <c r="E288" s="64"/>
      <c r="F288" s="65"/>
      <c r="G288" s="68"/>
      <c r="H288" s="65"/>
      <c r="I288" s="78"/>
      <c r="J288" s="65"/>
      <c r="K288" s="77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  <c r="GC288" s="33"/>
      <c r="GD288" s="33"/>
      <c r="GE288" s="33"/>
      <c r="GF288" s="33"/>
      <c r="GG288" s="33"/>
      <c r="GH288" s="33"/>
      <c r="GI288" s="33"/>
      <c r="GJ288" s="33"/>
      <c r="GK288" s="33"/>
      <c r="GL288" s="33"/>
      <c r="GM288" s="33"/>
      <c r="GN288" s="33"/>
      <c r="GO288" s="33"/>
      <c r="GP288" s="33"/>
      <c r="GQ288" s="33"/>
      <c r="GR288" s="33"/>
      <c r="GS288" s="33"/>
      <c r="GT288" s="33"/>
      <c r="GU288" s="33"/>
      <c r="GV288" s="33"/>
      <c r="GW288" s="33"/>
      <c r="GX288" s="33"/>
      <c r="GY288" s="33"/>
      <c r="GZ288" s="33"/>
      <c r="HA288" s="33"/>
      <c r="HB288" s="33"/>
      <c r="HC288" s="33"/>
      <c r="HD288" s="33"/>
      <c r="HE288" s="33"/>
      <c r="HF288" s="33"/>
      <c r="HG288" s="33"/>
      <c r="HH288" s="33"/>
      <c r="HI288" s="33"/>
      <c r="HJ288" s="33"/>
      <c r="HK288" s="33"/>
      <c r="HL288" s="33"/>
      <c r="HM288" s="33"/>
      <c r="HN288" s="33"/>
      <c r="HO288" s="33"/>
      <c r="HP288" s="33"/>
      <c r="HQ288" s="33"/>
      <c r="HR288" s="33"/>
      <c r="HS288" s="33"/>
      <c r="HT288" s="33"/>
      <c r="HU288" s="33"/>
      <c r="HV288" s="33"/>
      <c r="HW288" s="33"/>
      <c r="HX288" s="33"/>
      <c r="HY288" s="33"/>
      <c r="HZ288" s="33"/>
      <c r="IA288" s="33"/>
      <c r="IB288" s="33"/>
      <c r="IC288" s="33"/>
      <c r="ID288" s="33"/>
      <c r="IE288" s="33"/>
      <c r="IF288" s="33"/>
      <c r="IG288" s="33"/>
      <c r="IH288" s="33"/>
      <c r="II288" s="33"/>
      <c r="IJ288" s="33"/>
      <c r="IK288" s="33"/>
      <c r="IL288" s="33"/>
      <c r="IM288" s="33"/>
    </row>
    <row r="289" spans="1:247" ht="17.25" customHeight="1">
      <c r="A289" s="66" t="str">
        <f t="shared" ca="1" si="69"/>
        <v>6.6.4</v>
      </c>
      <c r="B289" s="182" t="s">
        <v>178</v>
      </c>
      <c r="C289" s="98"/>
      <c r="D289" s="64"/>
      <c r="E289" s="64"/>
      <c r="F289" s="65"/>
      <c r="G289" s="68"/>
      <c r="H289" s="65">
        <f t="shared" ref="G289:H297" si="77">NETWORKDAYS(D289,E289)</f>
        <v>0</v>
      </c>
      <c r="I289" s="78">
        <f t="shared" ref="H289:I297" si="78">ROUNDDOWN(G289*F289,0)</f>
        <v>0</v>
      </c>
      <c r="J289" s="65">
        <f t="shared" ref="I289:J297" si="79">F289-I289</f>
        <v>0</v>
      </c>
      <c r="K289" s="77">
        <v>100</v>
      </c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  <c r="GS289" s="33"/>
      <c r="GT289" s="33"/>
      <c r="GU289" s="33"/>
      <c r="GV289" s="33"/>
      <c r="GW289" s="33"/>
      <c r="GX289" s="33"/>
      <c r="GY289" s="33"/>
      <c r="GZ289" s="33"/>
      <c r="HA289" s="33"/>
      <c r="HB289" s="33"/>
      <c r="HC289" s="33"/>
      <c r="HD289" s="33"/>
      <c r="HE289" s="33"/>
      <c r="HF289" s="33"/>
      <c r="HG289" s="33"/>
      <c r="HH289" s="33"/>
      <c r="HI289" s="33"/>
      <c r="HJ289" s="33"/>
      <c r="HK289" s="33"/>
      <c r="HL289" s="33"/>
      <c r="HM289" s="33"/>
      <c r="HN289" s="33"/>
      <c r="HO289" s="33"/>
      <c r="HP289" s="33"/>
      <c r="HQ289" s="33"/>
      <c r="HR289" s="33"/>
      <c r="HS289" s="33"/>
      <c r="HT289" s="33"/>
      <c r="HU289" s="33"/>
      <c r="HV289" s="33"/>
      <c r="HW289" s="33"/>
      <c r="HX289" s="33"/>
      <c r="HY289" s="33"/>
      <c r="HZ289" s="33"/>
      <c r="IA289" s="33"/>
      <c r="IB289" s="33"/>
      <c r="IC289" s="33"/>
      <c r="ID289" s="33"/>
      <c r="IE289" s="33"/>
      <c r="IF289" s="33"/>
      <c r="IG289" s="33"/>
      <c r="IH289" s="33"/>
      <c r="II289" s="33"/>
      <c r="IJ289" s="33"/>
      <c r="IK289" s="33"/>
      <c r="IL289" s="33"/>
      <c r="IM289" s="33"/>
    </row>
    <row r="290" spans="1:247" ht="17.25" customHeight="1">
      <c r="A290" s="66" t="str">
        <f t="shared" ca="1" si="69"/>
        <v>6.6.5</v>
      </c>
      <c r="B290" s="182" t="s">
        <v>180</v>
      </c>
      <c r="C290" s="98"/>
      <c r="D290" s="64"/>
      <c r="E290" s="64"/>
      <c r="F290" s="65"/>
      <c r="G290" s="68"/>
      <c r="H290" s="65">
        <f t="shared" si="77"/>
        <v>0</v>
      </c>
      <c r="I290" s="78">
        <f t="shared" si="78"/>
        <v>0</v>
      </c>
      <c r="J290" s="65">
        <f t="shared" si="79"/>
        <v>0</v>
      </c>
      <c r="K290" s="77">
        <v>100</v>
      </c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  <c r="GS290" s="33"/>
      <c r="GT290" s="33"/>
      <c r="GU290" s="33"/>
      <c r="GV290" s="33"/>
      <c r="GW290" s="33"/>
      <c r="GX290" s="33"/>
      <c r="GY290" s="33"/>
      <c r="GZ290" s="33"/>
      <c r="HA290" s="33"/>
      <c r="HB290" s="33"/>
      <c r="HC290" s="33"/>
      <c r="HD290" s="33"/>
      <c r="HE290" s="33"/>
      <c r="HF290" s="33"/>
      <c r="HG290" s="33"/>
      <c r="HH290" s="33"/>
      <c r="HI290" s="33"/>
      <c r="HJ290" s="33"/>
      <c r="HK290" s="33"/>
      <c r="HL290" s="33"/>
      <c r="HM290" s="33"/>
      <c r="HN290" s="33"/>
      <c r="HO290" s="33"/>
      <c r="HP290" s="33"/>
      <c r="HQ290" s="33"/>
      <c r="HR290" s="33"/>
      <c r="HS290" s="33"/>
      <c r="HT290" s="33"/>
      <c r="HU290" s="33"/>
      <c r="HV290" s="33"/>
      <c r="HW290" s="33"/>
      <c r="HX290" s="33"/>
      <c r="HY290" s="33"/>
      <c r="HZ290" s="33"/>
      <c r="IA290" s="33"/>
      <c r="IB290" s="33"/>
      <c r="IC290" s="33"/>
      <c r="ID290" s="33"/>
      <c r="IE290" s="33"/>
      <c r="IF290" s="33"/>
      <c r="IG290" s="33"/>
      <c r="IH290" s="33"/>
      <c r="II290" s="33"/>
      <c r="IJ290" s="33"/>
      <c r="IK290" s="33"/>
      <c r="IL290" s="33"/>
      <c r="IM290" s="33"/>
    </row>
    <row r="291" spans="1:247" ht="17.25" customHeight="1">
      <c r="A291" s="66" t="str">
        <f t="shared" ca="1" si="69"/>
        <v>6.6.6</v>
      </c>
      <c r="B291" s="181" t="s">
        <v>206</v>
      </c>
      <c r="C291" s="98"/>
      <c r="D291" s="64"/>
      <c r="E291" s="64"/>
      <c r="F291" s="65"/>
      <c r="G291" s="68"/>
      <c r="H291" s="65"/>
      <c r="I291" s="78"/>
      <c r="J291" s="65"/>
      <c r="K291" s="77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  <c r="GS291" s="33"/>
      <c r="GT291" s="33"/>
      <c r="GU291" s="33"/>
      <c r="GV291" s="33"/>
      <c r="GW291" s="33"/>
      <c r="GX291" s="33"/>
      <c r="GY291" s="33"/>
      <c r="GZ291" s="33"/>
      <c r="HA291" s="33"/>
      <c r="HB291" s="33"/>
      <c r="HC291" s="33"/>
      <c r="HD291" s="33"/>
      <c r="HE291" s="33"/>
      <c r="HF291" s="33"/>
      <c r="HG291" s="33"/>
      <c r="HH291" s="33"/>
      <c r="HI291" s="33"/>
      <c r="HJ291" s="33"/>
      <c r="HK291" s="33"/>
      <c r="HL291" s="33"/>
      <c r="HM291" s="33"/>
      <c r="HN291" s="33"/>
      <c r="HO291" s="33"/>
      <c r="HP291" s="33"/>
      <c r="HQ291" s="33"/>
      <c r="HR291" s="33"/>
      <c r="HS291" s="33"/>
      <c r="HT291" s="33"/>
      <c r="HU291" s="33"/>
      <c r="HV291" s="33"/>
      <c r="HW291" s="33"/>
      <c r="HX291" s="33"/>
      <c r="HY291" s="33"/>
      <c r="HZ291" s="33"/>
      <c r="IA291" s="33"/>
      <c r="IB291" s="33"/>
      <c r="IC291" s="33"/>
      <c r="ID291" s="33"/>
      <c r="IE291" s="33"/>
      <c r="IF291" s="33"/>
      <c r="IG291" s="33"/>
      <c r="IH291" s="33"/>
      <c r="II291" s="33"/>
      <c r="IJ291" s="33"/>
      <c r="IK291" s="33"/>
      <c r="IL291" s="33"/>
      <c r="IM291" s="33"/>
    </row>
    <row r="292" spans="1:247" ht="17.25" customHeight="1">
      <c r="A292" s="66" t="str">
        <f t="shared" ca="1" si="69"/>
        <v>6.6.7</v>
      </c>
      <c r="B292" s="178" t="s">
        <v>177</v>
      </c>
      <c r="C292" s="98"/>
      <c r="D292" s="64">
        <v>42125</v>
      </c>
      <c r="E292" s="64">
        <v>42126</v>
      </c>
      <c r="F292" s="65"/>
      <c r="G292" s="68"/>
      <c r="H292" s="65">
        <f t="shared" si="77"/>
        <v>1</v>
      </c>
      <c r="I292" s="78">
        <f t="shared" si="78"/>
        <v>0</v>
      </c>
      <c r="J292" s="65">
        <f t="shared" si="79"/>
        <v>0</v>
      </c>
      <c r="K292" s="77">
        <v>100</v>
      </c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  <c r="GS292" s="33"/>
      <c r="GT292" s="33"/>
      <c r="GU292" s="33"/>
      <c r="GV292" s="33"/>
      <c r="GW292" s="33"/>
      <c r="GX292" s="33"/>
      <c r="GY292" s="33"/>
      <c r="GZ292" s="33"/>
      <c r="HA292" s="33"/>
      <c r="HB292" s="33"/>
      <c r="HC292" s="33"/>
      <c r="HD292" s="33"/>
      <c r="HE292" s="33"/>
      <c r="HF292" s="33"/>
      <c r="HG292" s="33"/>
      <c r="HH292" s="33"/>
      <c r="HI292" s="33"/>
      <c r="HJ292" s="33"/>
      <c r="HK292" s="33"/>
      <c r="HL292" s="33"/>
      <c r="HM292" s="33"/>
      <c r="HN292" s="33"/>
      <c r="HO292" s="33"/>
      <c r="HP292" s="33"/>
      <c r="HQ292" s="33"/>
      <c r="HR292" s="33"/>
      <c r="HS292" s="33"/>
      <c r="HT292" s="33"/>
      <c r="HU292" s="33"/>
      <c r="HV292" s="33"/>
      <c r="HW292" s="33"/>
      <c r="HX292" s="33"/>
      <c r="HY292" s="33"/>
      <c r="HZ292" s="33"/>
      <c r="IA292" s="33"/>
      <c r="IB292" s="33"/>
      <c r="IC292" s="33"/>
      <c r="ID292" s="33"/>
      <c r="IE292" s="33"/>
      <c r="IF292" s="33"/>
      <c r="IG292" s="33"/>
      <c r="IH292" s="33"/>
      <c r="II292" s="33"/>
      <c r="IJ292" s="33"/>
      <c r="IK292" s="33"/>
      <c r="IL292" s="33"/>
      <c r="IM292" s="33"/>
    </row>
    <row r="293" spans="1:247" ht="17.25" customHeight="1">
      <c r="A293" s="66" t="str">
        <f t="shared" ca="1" si="69"/>
        <v>6.6.8</v>
      </c>
      <c r="B293" s="179" t="s">
        <v>183</v>
      </c>
      <c r="C293" s="98"/>
      <c r="D293" s="64">
        <v>42127</v>
      </c>
      <c r="E293" s="64">
        <v>42128</v>
      </c>
      <c r="F293" s="65"/>
      <c r="G293" s="68"/>
      <c r="H293" s="65">
        <f t="shared" si="77"/>
        <v>1</v>
      </c>
      <c r="I293" s="78">
        <f t="shared" si="78"/>
        <v>0</v>
      </c>
      <c r="J293" s="65">
        <f t="shared" si="79"/>
        <v>0</v>
      </c>
      <c r="K293" s="77">
        <v>100</v>
      </c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  <c r="GS293" s="33"/>
      <c r="GT293" s="33"/>
      <c r="GU293" s="33"/>
      <c r="GV293" s="33"/>
      <c r="GW293" s="33"/>
      <c r="GX293" s="33"/>
      <c r="GY293" s="33"/>
      <c r="GZ293" s="33"/>
      <c r="HA293" s="33"/>
      <c r="HB293" s="33"/>
      <c r="HC293" s="33"/>
      <c r="HD293" s="33"/>
      <c r="HE293" s="33"/>
      <c r="HF293" s="33"/>
      <c r="HG293" s="33"/>
      <c r="HH293" s="33"/>
      <c r="HI293" s="33"/>
      <c r="HJ293" s="33"/>
      <c r="HK293" s="33"/>
      <c r="HL293" s="33"/>
      <c r="HM293" s="33"/>
      <c r="HN293" s="33"/>
      <c r="HO293" s="33"/>
      <c r="HP293" s="33"/>
      <c r="HQ293" s="33"/>
      <c r="HR293" s="33"/>
      <c r="HS293" s="33"/>
      <c r="HT293" s="33"/>
      <c r="HU293" s="33"/>
      <c r="HV293" s="33"/>
      <c r="HW293" s="33"/>
      <c r="HX293" s="33"/>
      <c r="HY293" s="33"/>
      <c r="HZ293" s="33"/>
      <c r="IA293" s="33"/>
      <c r="IB293" s="33"/>
      <c r="IC293" s="33"/>
      <c r="ID293" s="33"/>
      <c r="IE293" s="33"/>
      <c r="IF293" s="33"/>
      <c r="IG293" s="33"/>
      <c r="IH293" s="33"/>
      <c r="II293" s="33"/>
      <c r="IJ293" s="33"/>
      <c r="IK293" s="33"/>
      <c r="IL293" s="33"/>
      <c r="IM293" s="33"/>
    </row>
    <row r="294" spans="1:247" ht="17.25" customHeight="1">
      <c r="A294" s="31"/>
      <c r="B294" s="98"/>
      <c r="C294" s="64"/>
      <c r="D294" s="64"/>
      <c r="E294" s="65"/>
      <c r="F294" s="68"/>
      <c r="G294" s="65">
        <f t="shared" si="77"/>
        <v>0</v>
      </c>
      <c r="H294" s="78">
        <f t="shared" si="78"/>
        <v>0</v>
      </c>
      <c r="I294" s="65">
        <f t="shared" si="79"/>
        <v>0</v>
      </c>
      <c r="J294" s="77">
        <v>100</v>
      </c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  <c r="GS294" s="33"/>
      <c r="GT294" s="33"/>
      <c r="GU294" s="33"/>
      <c r="GV294" s="33"/>
      <c r="GW294" s="33"/>
      <c r="GX294" s="33"/>
      <c r="GY294" s="33"/>
      <c r="GZ294" s="33"/>
      <c r="HA294" s="33"/>
      <c r="HB294" s="33"/>
      <c r="HC294" s="33"/>
      <c r="HD294" s="33"/>
      <c r="HE294" s="33"/>
      <c r="HF294" s="33"/>
      <c r="HG294" s="33"/>
      <c r="HH294" s="33"/>
      <c r="HI294" s="33"/>
      <c r="HJ294" s="33"/>
      <c r="HK294" s="33"/>
      <c r="HL294" s="33"/>
      <c r="HM294" s="33"/>
      <c r="HN294" s="33"/>
      <c r="HO294" s="33"/>
      <c r="HP294" s="33"/>
      <c r="HQ294" s="33"/>
      <c r="HR294" s="33"/>
      <c r="HS294" s="33"/>
      <c r="HT294" s="33"/>
      <c r="HU294" s="33"/>
      <c r="HV294" s="33"/>
      <c r="HW294" s="33"/>
      <c r="HX294" s="33"/>
      <c r="HY294" s="33"/>
      <c r="HZ294" s="33"/>
      <c r="IA294" s="33"/>
      <c r="IB294" s="33"/>
      <c r="IC294" s="33"/>
      <c r="ID294" s="33"/>
      <c r="IE294" s="33"/>
      <c r="IF294" s="33"/>
      <c r="IG294" s="33"/>
      <c r="IH294" s="33"/>
      <c r="II294" s="33"/>
      <c r="IJ294" s="33"/>
      <c r="IK294" s="33"/>
      <c r="IL294" s="33"/>
    </row>
    <row r="295" spans="1:247" ht="17.25" customHeight="1">
      <c r="A295" s="31"/>
      <c r="B295" s="98"/>
      <c r="C295" s="64"/>
      <c r="D295" s="64"/>
      <c r="E295" s="65"/>
      <c r="F295" s="68"/>
      <c r="G295" s="65">
        <f t="shared" si="77"/>
        <v>0</v>
      </c>
      <c r="H295" s="78">
        <f t="shared" si="78"/>
        <v>0</v>
      </c>
      <c r="I295" s="65">
        <f t="shared" si="79"/>
        <v>0</v>
      </c>
      <c r="J295" s="77">
        <v>100</v>
      </c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  <c r="GS295" s="33"/>
      <c r="GT295" s="33"/>
      <c r="GU295" s="33"/>
      <c r="GV295" s="33"/>
      <c r="GW295" s="33"/>
      <c r="GX295" s="33"/>
      <c r="GY295" s="33"/>
      <c r="GZ295" s="33"/>
      <c r="HA295" s="33"/>
      <c r="HB295" s="33"/>
      <c r="HC295" s="33"/>
      <c r="HD295" s="33"/>
      <c r="HE295" s="33"/>
      <c r="HF295" s="33"/>
      <c r="HG295" s="33"/>
      <c r="HH295" s="33"/>
      <c r="HI295" s="33"/>
      <c r="HJ295" s="33"/>
      <c r="HK295" s="33"/>
      <c r="HL295" s="33"/>
      <c r="HM295" s="33"/>
      <c r="HN295" s="33"/>
      <c r="HO295" s="33"/>
      <c r="HP295" s="33"/>
      <c r="HQ295" s="33"/>
      <c r="HR295" s="33"/>
      <c r="HS295" s="33"/>
      <c r="HT295" s="33"/>
      <c r="HU295" s="33"/>
      <c r="HV295" s="33"/>
      <c r="HW295" s="33"/>
      <c r="HX295" s="33"/>
      <c r="HY295" s="33"/>
      <c r="HZ295" s="33"/>
      <c r="IA295" s="33"/>
      <c r="IB295" s="33"/>
      <c r="IC295" s="33"/>
      <c r="ID295" s="33"/>
      <c r="IE295" s="33"/>
      <c r="IF295" s="33"/>
      <c r="IG295" s="33"/>
      <c r="IH295" s="33"/>
      <c r="II295" s="33"/>
      <c r="IJ295" s="33"/>
      <c r="IK295" s="33"/>
      <c r="IL295" s="33"/>
    </row>
    <row r="296" spans="1:247" ht="17.25" customHeight="1">
      <c r="A296" s="31"/>
      <c r="B296" s="98"/>
      <c r="C296" s="64"/>
      <c r="D296" s="64"/>
      <c r="E296" s="65"/>
      <c r="F296" s="68"/>
      <c r="G296" s="65">
        <f t="shared" si="77"/>
        <v>0</v>
      </c>
      <c r="H296" s="78">
        <f t="shared" si="78"/>
        <v>0</v>
      </c>
      <c r="I296" s="65">
        <f t="shared" si="79"/>
        <v>0</v>
      </c>
      <c r="J296" s="77">
        <v>100</v>
      </c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  <c r="GY296" s="33"/>
      <c r="GZ296" s="33"/>
      <c r="HA296" s="33"/>
      <c r="HB296" s="33"/>
      <c r="HC296" s="33"/>
      <c r="HD296" s="33"/>
      <c r="HE296" s="33"/>
      <c r="HF296" s="33"/>
      <c r="HG296" s="33"/>
      <c r="HH296" s="33"/>
      <c r="HI296" s="33"/>
      <c r="HJ296" s="33"/>
      <c r="HK296" s="33"/>
      <c r="HL296" s="33"/>
      <c r="HM296" s="33"/>
      <c r="HN296" s="33"/>
      <c r="HO296" s="33"/>
      <c r="HP296" s="33"/>
      <c r="HQ296" s="33"/>
      <c r="HR296" s="33"/>
      <c r="HS296" s="33"/>
      <c r="HT296" s="33"/>
      <c r="HU296" s="33"/>
      <c r="HV296" s="33"/>
      <c r="HW296" s="33"/>
      <c r="HX296" s="33"/>
      <c r="HY296" s="33"/>
      <c r="HZ296" s="33"/>
      <c r="IA296" s="33"/>
      <c r="IB296" s="33"/>
      <c r="IC296" s="33"/>
      <c r="ID296" s="33"/>
      <c r="IE296" s="33"/>
      <c r="IF296" s="33"/>
      <c r="IG296" s="33"/>
      <c r="IH296" s="33"/>
      <c r="II296" s="33"/>
      <c r="IJ296" s="33"/>
      <c r="IK296" s="33"/>
      <c r="IL296" s="33"/>
    </row>
    <row r="297" spans="1:247" ht="17.25" customHeight="1">
      <c r="A297" s="31"/>
      <c r="B297" s="98"/>
      <c r="C297" s="64"/>
      <c r="D297" s="64"/>
      <c r="E297" s="65"/>
      <c r="F297" s="68"/>
      <c r="G297" s="65">
        <f t="shared" si="77"/>
        <v>0</v>
      </c>
      <c r="H297" s="78">
        <f t="shared" si="78"/>
        <v>0</v>
      </c>
      <c r="I297" s="65">
        <f t="shared" si="79"/>
        <v>0</v>
      </c>
      <c r="J297" s="77">
        <v>100</v>
      </c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  <c r="GY297" s="33"/>
      <c r="GZ297" s="33"/>
      <c r="HA297" s="33"/>
      <c r="HB297" s="33"/>
      <c r="HC297" s="33"/>
      <c r="HD297" s="33"/>
      <c r="HE297" s="33"/>
      <c r="HF297" s="33"/>
      <c r="HG297" s="33"/>
      <c r="HH297" s="33"/>
      <c r="HI297" s="33"/>
      <c r="HJ297" s="33"/>
      <c r="HK297" s="33"/>
      <c r="HL297" s="33"/>
      <c r="HM297" s="33"/>
      <c r="HN297" s="33"/>
      <c r="HO297" s="33"/>
      <c r="HP297" s="33"/>
      <c r="HQ297" s="33"/>
      <c r="HR297" s="33"/>
      <c r="HS297" s="33"/>
      <c r="HT297" s="33"/>
      <c r="HU297" s="33"/>
      <c r="HV297" s="33"/>
      <c r="HW297" s="33"/>
      <c r="HX297" s="33"/>
      <c r="HY297" s="33"/>
      <c r="HZ297" s="33"/>
      <c r="IA297" s="33"/>
      <c r="IB297" s="33"/>
      <c r="IC297" s="33"/>
      <c r="ID297" s="33"/>
      <c r="IE297" s="33"/>
      <c r="IF297" s="33"/>
      <c r="IG297" s="33"/>
      <c r="IH297" s="33"/>
      <c r="II297" s="33"/>
      <c r="IJ297" s="33"/>
      <c r="IK297" s="33"/>
      <c r="IL297" s="33"/>
    </row>
    <row r="298" spans="1:247" ht="16.5">
      <c r="A298" s="31"/>
      <c r="B298" s="98"/>
      <c r="C298" s="38"/>
      <c r="E298" s="39"/>
      <c r="J298" s="31"/>
      <c r="HS298" s="36"/>
    </row>
  </sheetData>
  <sheetProtection formatCells="0" formatColumns="0" formatRows="0" insertRows="0" deleteRows="0"/>
  <mergeCells count="40">
    <mergeCell ref="G1:J1"/>
    <mergeCell ref="I2:J2"/>
    <mergeCell ref="H4:J4"/>
    <mergeCell ref="C6:E6"/>
    <mergeCell ref="C7:D7"/>
    <mergeCell ref="C8:D8"/>
    <mergeCell ref="L10:R10"/>
    <mergeCell ref="S10:Y10"/>
    <mergeCell ref="Z10:AF10"/>
    <mergeCell ref="AG10:AM10"/>
    <mergeCell ref="AN10:AT10"/>
    <mergeCell ref="AU10:BA10"/>
    <mergeCell ref="BB10:BH10"/>
    <mergeCell ref="BI10:BO10"/>
    <mergeCell ref="BP10:BV10"/>
    <mergeCell ref="BW10:CC10"/>
    <mergeCell ref="CD10:CJ10"/>
    <mergeCell ref="CK10:CQ10"/>
    <mergeCell ref="CR10:CX10"/>
    <mergeCell ref="CY10:DE10"/>
    <mergeCell ref="DF10:DL10"/>
    <mergeCell ref="DM10:DS10"/>
    <mergeCell ref="DT10:DZ10"/>
    <mergeCell ref="EA10:EG10"/>
    <mergeCell ref="EH10:EN10"/>
    <mergeCell ref="EO10:EU10"/>
    <mergeCell ref="EV10:FB10"/>
    <mergeCell ref="FC10:FI10"/>
    <mergeCell ref="FJ10:FP10"/>
    <mergeCell ref="FQ10:FW10"/>
    <mergeCell ref="FX10:GD10"/>
    <mergeCell ref="GE10:GK10"/>
    <mergeCell ref="GL10:GR10"/>
    <mergeCell ref="GS10:GY10"/>
    <mergeCell ref="GZ10:HF10"/>
    <mergeCell ref="HG10:HM10"/>
    <mergeCell ref="HN10:HT10"/>
    <mergeCell ref="HU10:IA10"/>
    <mergeCell ref="IB10:IH10"/>
    <mergeCell ref="II10:IO10"/>
  </mergeCells>
  <phoneticPr fontId="7" type="noConversion"/>
  <conditionalFormatting sqref="L12:IO12 L14:IO14 L30:IO30 L34:IO34 L48:IO50 L52:IO76 L78:IO111 L113:IO121 IN122:IO124 L122:IM126 L127:IO150 L152:IO160 IN161:IO163 L161:IM268 L271:IM293">
    <cfRule type="expression" dxfId="98" priority="700" stopIfTrue="1">
      <formula>L$9=$H$4</formula>
    </cfRule>
    <cfRule type="expression" dxfId="97" priority="701" stopIfTrue="1">
      <formula>AND(L$9&gt;=$D12,L$9&lt;$D12+$I12)</formula>
    </cfRule>
    <cfRule type="expression" dxfId="96" priority="702" stopIfTrue="1">
      <formula>AND(L$9&gt;=$D12,L$9&lt;=$D12+$F12-1)</formula>
    </cfRule>
  </conditionalFormatting>
  <conditionalFormatting sqref="L11:IO11 L51:IO51 L77:IO77 L112:IO112 L151:IO151">
    <cfRule type="expression" dxfId="95" priority="703" stopIfTrue="1">
      <formula>L$9=$H$4</formula>
    </cfRule>
    <cfRule type="expression" dxfId="94" priority="704" stopIfTrue="1">
      <formula>AND(L$9&gt;=$D11,L$9&lt;$D11+$I11)</formula>
    </cfRule>
    <cfRule type="expression" dxfId="93" priority="705" stopIfTrue="1">
      <formula>AND(L$9&gt;=$D11,L$9&lt;=$D11+$F11-1)</formula>
    </cfRule>
  </conditionalFormatting>
  <conditionalFormatting sqref="L15:IO15">
    <cfRule type="expression" dxfId="92" priority="706" stopIfTrue="1">
      <formula>L$9=$H$4</formula>
    </cfRule>
    <cfRule type="expression" dxfId="91" priority="707" stopIfTrue="1">
      <formula>AND(L$9&gt;=$D15,L$9&lt;$D15+$I15)</formula>
    </cfRule>
    <cfRule type="expression" dxfId="90" priority="708" stopIfTrue="1">
      <formula>AND(L$9&gt;=$D15,L$9&lt;=$D15+$F15-1)</formula>
    </cfRule>
  </conditionalFormatting>
  <conditionalFormatting sqref="L13:IO13">
    <cfRule type="expression" dxfId="89" priority="709" stopIfTrue="1">
      <formula>L$9=$H$4</formula>
    </cfRule>
    <cfRule type="expression" dxfId="88" priority="710" stopIfTrue="1">
      <formula>AND(L$9&gt;=$D13,L$9&lt;$D13+$I13)</formula>
    </cfRule>
    <cfRule type="expression" dxfId="87" priority="711" stopIfTrue="1">
      <formula>AND(L$9&gt;=$D13,L$9&lt;=$D13+$F13-1)</formula>
    </cfRule>
  </conditionalFormatting>
  <conditionalFormatting sqref="L16:IO17">
    <cfRule type="expression" dxfId="86" priority="712" stopIfTrue="1">
      <formula>L$9=$H$4</formula>
    </cfRule>
    <cfRule type="expression" dxfId="85" priority="713" stopIfTrue="1">
      <formula>AND(L$9&gt;=$D16,L$9&lt;$D16+$I16)</formula>
    </cfRule>
    <cfRule type="expression" dxfId="84" priority="714" stopIfTrue="1">
      <formula>AND(L$9&gt;=$D16,L$9&lt;=$D16+$F16-1)</formula>
    </cfRule>
  </conditionalFormatting>
  <conditionalFormatting sqref="L18:IO18">
    <cfRule type="expression" dxfId="83" priority="715" stopIfTrue="1">
      <formula>L$9=$H$4</formula>
    </cfRule>
    <cfRule type="expression" dxfId="82" priority="716" stopIfTrue="1">
      <formula>AND(L$9&gt;=$D18,L$9&lt;$D18+$I18)</formula>
    </cfRule>
    <cfRule type="expression" dxfId="81" priority="717" stopIfTrue="1">
      <formula>AND(L$9&gt;=$D18,L$9&lt;=$D18+$F18-1)</formula>
    </cfRule>
  </conditionalFormatting>
  <conditionalFormatting sqref="L19:IO19">
    <cfRule type="expression" dxfId="80" priority="718" stopIfTrue="1">
      <formula>L$9=$H$4</formula>
    </cfRule>
    <cfRule type="expression" dxfId="79" priority="719" stopIfTrue="1">
      <formula>AND(L$9&gt;=$D19,L$9&lt;$D19+$I19)</formula>
    </cfRule>
    <cfRule type="expression" dxfId="78" priority="720" stopIfTrue="1">
      <formula>AND(L$9&gt;=$D19,L$9&lt;=$D19+$F19-1)</formula>
    </cfRule>
  </conditionalFormatting>
  <conditionalFormatting sqref="L20:IO20">
    <cfRule type="expression" dxfId="77" priority="721" stopIfTrue="1">
      <formula>L$9=$H$4</formula>
    </cfRule>
    <cfRule type="expression" dxfId="76" priority="722" stopIfTrue="1">
      <formula>AND(L$9&gt;=$D20,L$9&lt;$D20+$I20)</formula>
    </cfRule>
    <cfRule type="expression" dxfId="75" priority="723" stopIfTrue="1">
      <formula>AND(L$9&gt;=$D20,L$9&lt;=$D20+$F20-1)</formula>
    </cfRule>
  </conditionalFormatting>
  <conditionalFormatting sqref="L21:IO21">
    <cfRule type="expression" dxfId="74" priority="724" stopIfTrue="1">
      <formula>L$9=$H$4</formula>
    </cfRule>
    <cfRule type="expression" dxfId="73" priority="725" stopIfTrue="1">
      <formula>AND(L$9&gt;=$D21,L$9&lt;$D21+$I21)</formula>
    </cfRule>
    <cfRule type="expression" dxfId="72" priority="726" stopIfTrue="1">
      <formula>AND(L$9&gt;=$D21,L$9&lt;=$D21+$F21-1)</formula>
    </cfRule>
  </conditionalFormatting>
  <conditionalFormatting sqref="L22:IO22">
    <cfRule type="expression" dxfId="71" priority="727" stopIfTrue="1">
      <formula>L$9=$H$4</formula>
    </cfRule>
    <cfRule type="expression" dxfId="70" priority="728" stopIfTrue="1">
      <formula>AND(L$9&gt;=$D22,L$9&lt;$D22+$I22)</formula>
    </cfRule>
    <cfRule type="expression" dxfId="69" priority="729" stopIfTrue="1">
      <formula>AND(L$9&gt;=$D22,L$9&lt;=$D22+$F22-1)</formula>
    </cfRule>
  </conditionalFormatting>
  <conditionalFormatting sqref="L23:IO23">
    <cfRule type="expression" dxfId="68" priority="730" stopIfTrue="1">
      <formula>L$9=$H$4</formula>
    </cfRule>
    <cfRule type="expression" dxfId="67" priority="731" stopIfTrue="1">
      <formula>AND(L$9&gt;=$D23,L$9&lt;$D23+$I23)</formula>
    </cfRule>
    <cfRule type="expression" dxfId="66" priority="732" stopIfTrue="1">
      <formula>AND(L$9&gt;=$D23,L$9&lt;=$D23+$F23-1)</formula>
    </cfRule>
  </conditionalFormatting>
  <conditionalFormatting sqref="L24:IO24">
    <cfRule type="expression" dxfId="65" priority="733" stopIfTrue="1">
      <formula>L$9=$H$4</formula>
    </cfRule>
    <cfRule type="expression" dxfId="64" priority="734" stopIfTrue="1">
      <formula>AND(L$9&gt;=$D24,L$9&lt;$D24+$I24)</formula>
    </cfRule>
    <cfRule type="expression" dxfId="63" priority="735" stopIfTrue="1">
      <formula>AND(L$9&gt;=$D24,L$9&lt;=$D24+$F24-1)</formula>
    </cfRule>
  </conditionalFormatting>
  <conditionalFormatting sqref="L25:IO25">
    <cfRule type="expression" dxfId="62" priority="241" stopIfTrue="1">
      <formula>L$9=$H$4</formula>
    </cfRule>
    <cfRule type="expression" dxfId="61" priority="242" stopIfTrue="1">
      <formula>AND(L$9&gt;=$D25,L$9&lt;$D25+$I25)</formula>
    </cfRule>
    <cfRule type="expression" dxfId="60" priority="243" stopIfTrue="1">
      <formula>AND(L$9&gt;=$D25,L$9&lt;=$D25+$F25-1)</formula>
    </cfRule>
  </conditionalFormatting>
  <conditionalFormatting sqref="L26:IO26">
    <cfRule type="expression" dxfId="59" priority="238" stopIfTrue="1">
      <formula>L$9=$H$4</formula>
    </cfRule>
    <cfRule type="expression" dxfId="58" priority="239" stopIfTrue="1">
      <formula>AND(L$9&gt;=$D26,L$9&lt;$D26+$I26)</formula>
    </cfRule>
    <cfRule type="expression" dxfId="57" priority="240" stopIfTrue="1">
      <formula>AND(L$9&gt;=$D26,L$9&lt;=$D26+$F26-1)</formula>
    </cfRule>
  </conditionalFormatting>
  <conditionalFormatting sqref="L27:IO27">
    <cfRule type="expression" dxfId="56" priority="235" stopIfTrue="1">
      <formula>L$9=$H$4</formula>
    </cfRule>
    <cfRule type="expression" dxfId="55" priority="236" stopIfTrue="1">
      <formula>AND(L$9&gt;=$D27,L$9&lt;$D27+$I27)</formula>
    </cfRule>
    <cfRule type="expression" dxfId="54" priority="237" stopIfTrue="1">
      <formula>AND(L$9&gt;=$D27,L$9&lt;=$D27+$F27-1)</formula>
    </cfRule>
  </conditionalFormatting>
  <conditionalFormatting sqref="L28:IO28">
    <cfRule type="expression" dxfId="53" priority="232" stopIfTrue="1">
      <formula>L$9=$H$4</formula>
    </cfRule>
    <cfRule type="expression" dxfId="52" priority="233" stopIfTrue="1">
      <formula>AND(L$9&gt;=$D28,L$9&lt;$D28+$I28)</formula>
    </cfRule>
    <cfRule type="expression" dxfId="51" priority="234" stopIfTrue="1">
      <formula>AND(L$9&gt;=$D28,L$9&lt;=$D28+$F28-1)</formula>
    </cfRule>
  </conditionalFormatting>
  <conditionalFormatting sqref="L29:IO29">
    <cfRule type="expression" dxfId="50" priority="229" stopIfTrue="1">
      <formula>L$9=$H$4</formula>
    </cfRule>
    <cfRule type="expression" dxfId="49" priority="230" stopIfTrue="1">
      <formula>AND(L$9&gt;=$D29,L$9&lt;$D29+$I29)</formula>
    </cfRule>
    <cfRule type="expression" dxfId="48" priority="231" stopIfTrue="1">
      <formula>AND(L$9&gt;=$D29,L$9&lt;=$D29+$F29-1)</formula>
    </cfRule>
  </conditionalFormatting>
  <conditionalFormatting sqref="L31:IO31">
    <cfRule type="expression" dxfId="47" priority="226" stopIfTrue="1">
      <formula>L$9=$H$4</formula>
    </cfRule>
    <cfRule type="expression" dxfId="46" priority="227" stopIfTrue="1">
      <formula>AND(L$9&gt;=$D31,L$9&lt;$D31+$I31)</formula>
    </cfRule>
    <cfRule type="expression" dxfId="45" priority="228" stopIfTrue="1">
      <formula>AND(L$9&gt;=$D31,L$9&lt;=$D31+$F31-1)</formula>
    </cfRule>
  </conditionalFormatting>
  <conditionalFormatting sqref="L32:IO32">
    <cfRule type="expression" dxfId="44" priority="223" stopIfTrue="1">
      <formula>L$9=$H$4</formula>
    </cfRule>
    <cfRule type="expression" dxfId="43" priority="224" stopIfTrue="1">
      <formula>AND(L$9&gt;=$D32,L$9&lt;$D32+$I32)</formula>
    </cfRule>
    <cfRule type="expression" dxfId="42" priority="225" stopIfTrue="1">
      <formula>AND(L$9&gt;=$D32,L$9&lt;=$D32+$F32-1)</formula>
    </cfRule>
  </conditionalFormatting>
  <conditionalFormatting sqref="L33:IO33">
    <cfRule type="expression" dxfId="41" priority="217" stopIfTrue="1">
      <formula>L$9=$H$4</formula>
    </cfRule>
    <cfRule type="expression" dxfId="40" priority="218" stopIfTrue="1">
      <formula>AND(L$9&gt;=$D33,L$9&lt;$D33+$I33)</formula>
    </cfRule>
    <cfRule type="expression" dxfId="39" priority="219" stopIfTrue="1">
      <formula>AND(L$9&gt;=$D33,L$9&lt;=$D33+$F33-1)</formula>
    </cfRule>
  </conditionalFormatting>
  <conditionalFormatting sqref="L35:IO35">
    <cfRule type="expression" dxfId="38" priority="214" stopIfTrue="1">
      <formula>L$9=$H$4</formula>
    </cfRule>
    <cfRule type="expression" dxfId="37" priority="215" stopIfTrue="1">
      <formula>AND(L$9&gt;=$D35,L$9&lt;$D35+$I35)</formula>
    </cfRule>
    <cfRule type="expression" dxfId="36" priority="216" stopIfTrue="1">
      <formula>AND(L$9&gt;=$D35,L$9&lt;=$D35+$F35-1)</formula>
    </cfRule>
  </conditionalFormatting>
  <conditionalFormatting sqref="L36:IO37">
    <cfRule type="expression" dxfId="35" priority="211" stopIfTrue="1">
      <formula>L$9=$H$4</formula>
    </cfRule>
    <cfRule type="expression" dxfId="34" priority="212" stopIfTrue="1">
      <formula>AND(L$9&gt;=$D36,L$9&lt;$D36+$I36)</formula>
    </cfRule>
    <cfRule type="expression" dxfId="33" priority="213" stopIfTrue="1">
      <formula>AND(L$9&gt;=$D36,L$9&lt;=$D36+$F36-1)</formula>
    </cfRule>
  </conditionalFormatting>
  <conditionalFormatting sqref="L38:IO38">
    <cfRule type="expression" dxfId="32" priority="208" stopIfTrue="1">
      <formula>L$9=$H$4</formula>
    </cfRule>
    <cfRule type="expression" dxfId="31" priority="209" stopIfTrue="1">
      <formula>AND(L$9&gt;=$D38,L$9&lt;$D38+$I38)</formula>
    </cfRule>
    <cfRule type="expression" dxfId="30" priority="210" stopIfTrue="1">
      <formula>AND(L$9&gt;=$D38,L$9&lt;=$D38+$F38-1)</formula>
    </cfRule>
  </conditionalFormatting>
  <conditionalFormatting sqref="L39:IO39">
    <cfRule type="expression" dxfId="29" priority="205" stopIfTrue="1">
      <formula>L$9=$H$4</formula>
    </cfRule>
    <cfRule type="expression" dxfId="28" priority="206" stopIfTrue="1">
      <formula>AND(L$9&gt;=$D39,L$9&lt;$D39+$I39)</formula>
    </cfRule>
    <cfRule type="expression" dxfId="27" priority="207" stopIfTrue="1">
      <formula>AND(L$9&gt;=$D39,L$9&lt;=$D39+$F39-1)</formula>
    </cfRule>
  </conditionalFormatting>
  <conditionalFormatting sqref="L45:IO45">
    <cfRule type="expression" dxfId="26" priority="181" stopIfTrue="1">
      <formula>L$9=$H$4</formula>
    </cfRule>
    <cfRule type="expression" dxfId="25" priority="182" stopIfTrue="1">
      <formula>AND(L$9&gt;=$D45,L$9&lt;$D45+$I45)</formula>
    </cfRule>
    <cfRule type="expression" dxfId="24" priority="183" stopIfTrue="1">
      <formula>AND(L$9&gt;=$D45,L$9&lt;=$D45+$F45-1)</formula>
    </cfRule>
  </conditionalFormatting>
  <conditionalFormatting sqref="L40:IO40">
    <cfRule type="expression" dxfId="23" priority="199" stopIfTrue="1">
      <formula>L$9=$H$4</formula>
    </cfRule>
    <cfRule type="expression" dxfId="22" priority="200" stopIfTrue="1">
      <formula>AND(L$9&gt;=$D40,L$9&lt;$D40+$I40)</formula>
    </cfRule>
    <cfRule type="expression" dxfId="21" priority="201" stopIfTrue="1">
      <formula>AND(L$9&gt;=$D40,L$9&lt;=$D40+$F40-1)</formula>
    </cfRule>
  </conditionalFormatting>
  <conditionalFormatting sqref="L41:IO41">
    <cfRule type="expression" dxfId="20" priority="196" stopIfTrue="1">
      <formula>L$9=$H$4</formula>
    </cfRule>
    <cfRule type="expression" dxfId="19" priority="197" stopIfTrue="1">
      <formula>AND(L$9&gt;=$D41,L$9&lt;$D41+$I41)</formula>
    </cfRule>
    <cfRule type="expression" dxfId="18" priority="198" stopIfTrue="1">
      <formula>AND(L$9&gt;=$D41,L$9&lt;=$D41+$F41-1)</formula>
    </cfRule>
  </conditionalFormatting>
  <conditionalFormatting sqref="L42:IO42">
    <cfRule type="expression" dxfId="17" priority="190" stopIfTrue="1">
      <formula>L$9=$H$4</formula>
    </cfRule>
    <cfRule type="expression" dxfId="16" priority="191" stopIfTrue="1">
      <formula>AND(L$9&gt;=$D42,L$9&lt;$D42+$I42)</formula>
    </cfRule>
    <cfRule type="expression" dxfId="15" priority="192" stopIfTrue="1">
      <formula>AND(L$9&gt;=$D42,L$9&lt;=$D42+$F42-1)</formula>
    </cfRule>
  </conditionalFormatting>
  <conditionalFormatting sqref="L43:IO43">
    <cfRule type="expression" dxfId="14" priority="187" stopIfTrue="1">
      <formula>L$9=$H$4</formula>
    </cfRule>
    <cfRule type="expression" dxfId="13" priority="188" stopIfTrue="1">
      <formula>AND(L$9&gt;=$D43,L$9&lt;$D43+$I43)</formula>
    </cfRule>
    <cfRule type="expression" dxfId="12" priority="189" stopIfTrue="1">
      <formula>AND(L$9&gt;=$D43,L$9&lt;=$D43+$F43-1)</formula>
    </cfRule>
  </conditionalFormatting>
  <conditionalFormatting sqref="L44:IO44">
    <cfRule type="expression" dxfId="11" priority="184" stopIfTrue="1">
      <formula>L$9=$H$4</formula>
    </cfRule>
    <cfRule type="expression" dxfId="10" priority="185" stopIfTrue="1">
      <formula>AND(L$9&gt;=$D44,L$9&lt;$D44+$I44)</formula>
    </cfRule>
    <cfRule type="expression" dxfId="9" priority="186" stopIfTrue="1">
      <formula>AND(L$9&gt;=$D44,L$9&lt;=$D44+$F44-1)</formula>
    </cfRule>
  </conditionalFormatting>
  <conditionalFormatting sqref="L46:IO46">
    <cfRule type="expression" dxfId="8" priority="178" stopIfTrue="1">
      <formula>L$9=$H$4</formula>
    </cfRule>
    <cfRule type="expression" dxfId="7" priority="179" stopIfTrue="1">
      <formula>AND(L$9&gt;=$D46,L$9&lt;$D46+$I46)</formula>
    </cfRule>
    <cfRule type="expression" dxfId="6" priority="180" stopIfTrue="1">
      <formula>AND(L$9&gt;=$D46,L$9&lt;=$D46+$F46-1)</formula>
    </cfRule>
  </conditionalFormatting>
  <conditionalFormatting sqref="L47:IO47">
    <cfRule type="expression" dxfId="5" priority="175" stopIfTrue="1">
      <formula>L$9=$H$4</formula>
    </cfRule>
    <cfRule type="expression" dxfId="4" priority="176" stopIfTrue="1">
      <formula>AND(L$9&gt;=$D47,L$9&lt;$D47+$I47)</formula>
    </cfRule>
    <cfRule type="expression" dxfId="3" priority="177" stopIfTrue="1">
      <formula>AND(L$9&gt;=$D47,L$9&lt;=$D47+$F47-1)</formula>
    </cfRule>
  </conditionalFormatting>
  <conditionalFormatting sqref="K269:IL270 K294:IL297">
    <cfRule type="expression" dxfId="2" priority="739" stopIfTrue="1">
      <formula>L$9=$H$4</formula>
    </cfRule>
    <cfRule type="expression" dxfId="1" priority="740" stopIfTrue="1">
      <formula>AND(L$9&gt;=$C269,L$9&lt;$C269+$H269)</formula>
    </cfRule>
    <cfRule type="expression" dxfId="0" priority="741" stopIfTrue="1">
      <formula>AND(L$9&gt;=$C269,L$9&lt;=$C269+$E269-1)</formula>
    </cfRule>
  </conditionalFormatting>
  <pageMargins left="0.25" right="0.25" top="0.5" bottom="0.5" header="0.5" footer="0.25"/>
  <pageSetup scale="81" fitToHeight="0" orientation="landscape" r:id="rId1"/>
  <headerFooter alignWithMargins="0">
    <oddFooter>&amp;L&amp;8Gantt Chart Template by Vertex42.com&amp;R&amp;8© 2008 Vertex42 LLC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E38"/>
  <sheetViews>
    <sheetView workbookViewId="0">
      <selection activeCell="B45" sqref="B45"/>
    </sheetView>
  </sheetViews>
  <sheetFormatPr defaultColWidth="9.140625" defaultRowHeight="12.75"/>
  <cols>
    <col min="1" max="1" width="32.42578125" style="3" customWidth="1"/>
    <col min="2" max="2" width="38.5703125" style="3" customWidth="1"/>
    <col min="3" max="3" width="20.140625" style="3" customWidth="1"/>
    <col min="4" max="4" width="17.5703125" style="3" customWidth="1"/>
    <col min="5" max="5" width="17.42578125" style="3" customWidth="1"/>
    <col min="6" max="16384" width="9.140625" style="3"/>
  </cols>
  <sheetData>
    <row r="2" spans="1:5" ht="15.75">
      <c r="A2" s="167" t="s">
        <v>34</v>
      </c>
      <c r="B2" s="167"/>
      <c r="C2" s="167"/>
      <c r="D2" s="167"/>
      <c r="E2" s="168"/>
    </row>
    <row r="3" spans="1:5">
      <c r="A3" s="5" t="s">
        <v>35</v>
      </c>
      <c r="B3" s="4" t="s">
        <v>36</v>
      </c>
      <c r="C3" s="5" t="s">
        <v>37</v>
      </c>
      <c r="D3" s="169" t="s">
        <v>36</v>
      </c>
      <c r="E3" s="168"/>
    </row>
    <row r="4" spans="1:5">
      <c r="A4" s="5" t="s">
        <v>38</v>
      </c>
      <c r="B4" s="17" t="s">
        <v>36</v>
      </c>
      <c r="C4" s="5" t="s">
        <v>39</v>
      </c>
      <c r="D4" s="169">
        <v>0</v>
      </c>
      <c r="E4" s="168"/>
    </row>
    <row r="5" spans="1:5">
      <c r="A5" s="5" t="s">
        <v>40</v>
      </c>
      <c r="B5" s="17" t="s">
        <v>36</v>
      </c>
      <c r="C5" s="5" t="s">
        <v>41</v>
      </c>
      <c r="D5" s="169" t="s">
        <v>36</v>
      </c>
      <c r="E5" s="168"/>
    </row>
    <row r="6" spans="1:5">
      <c r="A6" s="160"/>
      <c r="B6" s="160"/>
      <c r="C6" s="160"/>
      <c r="D6" s="160"/>
      <c r="E6"/>
    </row>
    <row r="7" spans="1:5">
      <c r="A7" s="146" t="s">
        <v>42</v>
      </c>
      <c r="B7" s="147"/>
      <c r="C7" s="147"/>
      <c r="D7" s="147"/>
      <c r="E7" s="148"/>
    </row>
    <row r="8" spans="1:5" ht="24">
      <c r="A8" s="18" t="s">
        <v>43</v>
      </c>
      <c r="B8" s="18" t="s">
        <v>44</v>
      </c>
      <c r="C8" s="18" t="s">
        <v>45</v>
      </c>
      <c r="D8" s="149" t="s">
        <v>46</v>
      </c>
      <c r="E8" s="150"/>
    </row>
    <row r="9" spans="1:5">
      <c r="A9" s="20">
        <v>0</v>
      </c>
      <c r="B9" s="21">
        <v>0</v>
      </c>
      <c r="C9" s="22">
        <v>0</v>
      </c>
      <c r="D9" s="151">
        <v>0</v>
      </c>
      <c r="E9" s="152"/>
    </row>
    <row r="10" spans="1:5" ht="24">
      <c r="A10" s="153"/>
      <c r="B10" s="18" t="s">
        <v>47</v>
      </c>
      <c r="C10" s="18" t="s">
        <v>48</v>
      </c>
      <c r="D10" s="149" t="s">
        <v>46</v>
      </c>
      <c r="E10" s="150"/>
    </row>
    <row r="11" spans="1:5">
      <c r="A11" s="154"/>
      <c r="B11" s="21">
        <v>0</v>
      </c>
      <c r="C11" s="22">
        <v>0</v>
      </c>
      <c r="D11" s="151">
        <v>0</v>
      </c>
      <c r="E11" s="152"/>
    </row>
    <row r="12" spans="1:5">
      <c r="A12" s="23" t="s">
        <v>49</v>
      </c>
      <c r="B12" s="155"/>
      <c r="C12" s="156"/>
      <c r="D12" s="156"/>
      <c r="E12" s="157"/>
    </row>
    <row r="14" spans="1:5">
      <c r="A14" s="158" t="s">
        <v>50</v>
      </c>
      <c r="B14" s="147"/>
      <c r="C14" s="147"/>
      <c r="D14" s="147"/>
      <c r="E14" s="148"/>
    </row>
    <row r="15" spans="1:5">
      <c r="A15" s="159" t="s">
        <v>51</v>
      </c>
      <c r="B15" s="160"/>
      <c r="C15" s="160"/>
      <c r="D15" s="160"/>
      <c r="E15" s="160"/>
    </row>
    <row r="16" spans="1:5">
      <c r="A16" s="24" t="s">
        <v>52</v>
      </c>
      <c r="B16" s="19" t="s">
        <v>53</v>
      </c>
      <c r="C16" s="19" t="s">
        <v>54</v>
      </c>
      <c r="D16" s="19" t="s">
        <v>55</v>
      </c>
      <c r="E16" s="164"/>
    </row>
    <row r="17" spans="1:5">
      <c r="A17" s="25" t="s">
        <v>56</v>
      </c>
      <c r="B17" s="20">
        <v>0</v>
      </c>
      <c r="C17" s="26">
        <v>0</v>
      </c>
      <c r="D17" s="20">
        <v>0</v>
      </c>
      <c r="E17" s="165"/>
    </row>
    <row r="18" spans="1:5">
      <c r="A18" s="27" t="s">
        <v>56</v>
      </c>
      <c r="B18" s="20">
        <v>0</v>
      </c>
      <c r="C18" s="26">
        <v>0</v>
      </c>
      <c r="D18" s="20">
        <v>0</v>
      </c>
      <c r="E18" s="165"/>
    </row>
    <row r="19" spans="1:5">
      <c r="A19" s="27" t="s">
        <v>56</v>
      </c>
      <c r="B19" s="20">
        <v>0</v>
      </c>
      <c r="C19" s="26">
        <v>0</v>
      </c>
      <c r="D19" s="20">
        <v>0</v>
      </c>
      <c r="E19" s="165"/>
    </row>
    <row r="20" spans="1:5">
      <c r="A20" s="27" t="s">
        <v>56</v>
      </c>
      <c r="B20" s="20">
        <v>0</v>
      </c>
      <c r="C20" s="26">
        <v>0</v>
      </c>
      <c r="D20" s="20">
        <v>0</v>
      </c>
      <c r="E20" s="165"/>
    </row>
    <row r="21" spans="1:5">
      <c r="A21" s="27" t="s">
        <v>56</v>
      </c>
      <c r="B21" s="20">
        <v>0</v>
      </c>
      <c r="C21" s="26">
        <v>0</v>
      </c>
      <c r="D21" s="20">
        <v>0</v>
      </c>
      <c r="E21" s="165"/>
    </row>
    <row r="22" spans="1:5">
      <c r="A22" s="27" t="s">
        <v>56</v>
      </c>
      <c r="B22" s="20">
        <v>0</v>
      </c>
      <c r="C22" s="26">
        <v>0</v>
      </c>
      <c r="D22" s="20">
        <v>0</v>
      </c>
      <c r="E22" s="165"/>
    </row>
    <row r="23" spans="1:5">
      <c r="A23" s="161" t="s">
        <v>57</v>
      </c>
      <c r="B23" s="144"/>
      <c r="C23" s="162"/>
      <c r="D23" s="19" t="s">
        <v>55</v>
      </c>
      <c r="E23" s="165"/>
    </row>
    <row r="24" spans="1:5">
      <c r="A24" s="163" t="s">
        <v>58</v>
      </c>
      <c r="B24" s="137"/>
      <c r="C24" s="137"/>
      <c r="D24" s="20">
        <v>0</v>
      </c>
      <c r="E24" s="165"/>
    </row>
    <row r="25" spans="1:5">
      <c r="A25" s="163" t="s">
        <v>58</v>
      </c>
      <c r="B25" s="137"/>
      <c r="C25" s="137"/>
      <c r="D25" s="20">
        <v>0</v>
      </c>
      <c r="E25" s="165"/>
    </row>
    <row r="26" spans="1:5">
      <c r="A26" s="163" t="s">
        <v>58</v>
      </c>
      <c r="B26" s="137"/>
      <c r="C26" s="137"/>
      <c r="D26" s="20">
        <v>0</v>
      </c>
      <c r="E26" s="166"/>
    </row>
    <row r="27" spans="1:5">
      <c r="A27" s="141" t="s">
        <v>59</v>
      </c>
      <c r="B27" s="144"/>
      <c r="C27" s="144"/>
      <c r="D27" s="143"/>
      <c r="E27" s="28">
        <v>0</v>
      </c>
    </row>
    <row r="28" spans="1:5">
      <c r="A28" s="145" t="s">
        <v>60</v>
      </c>
      <c r="B28" s="142"/>
      <c r="C28" s="142"/>
      <c r="D28" s="142"/>
      <c r="E28" s="29"/>
    </row>
    <row r="29" spans="1:5">
      <c r="A29" s="138" t="s">
        <v>61</v>
      </c>
      <c r="B29" s="139"/>
      <c r="C29" s="139"/>
      <c r="D29" s="19" t="s">
        <v>55</v>
      </c>
      <c r="E29" s="140"/>
    </row>
    <row r="30" spans="1:5">
      <c r="A30" s="136" t="s">
        <v>62</v>
      </c>
      <c r="B30" s="137"/>
      <c r="C30" s="137"/>
      <c r="D30" s="20">
        <v>0</v>
      </c>
      <c r="E30" s="140"/>
    </row>
    <row r="31" spans="1:5">
      <c r="A31" s="136" t="s">
        <v>62</v>
      </c>
      <c r="B31" s="137"/>
      <c r="C31" s="137"/>
      <c r="D31" s="20">
        <v>0</v>
      </c>
      <c r="E31" s="140"/>
    </row>
    <row r="32" spans="1:5">
      <c r="A32" s="136" t="s">
        <v>62</v>
      </c>
      <c r="B32" s="137"/>
      <c r="C32" s="137"/>
      <c r="D32" s="20">
        <v>0</v>
      </c>
      <c r="E32" s="140"/>
    </row>
    <row r="33" spans="1:5">
      <c r="A33" s="138" t="s">
        <v>63</v>
      </c>
      <c r="B33" s="139"/>
      <c r="C33" s="139"/>
      <c r="D33" s="19" t="s">
        <v>55</v>
      </c>
      <c r="E33" s="140"/>
    </row>
    <row r="34" spans="1:5">
      <c r="A34" s="136" t="s">
        <v>58</v>
      </c>
      <c r="B34" s="137"/>
      <c r="C34" s="137"/>
      <c r="D34" s="20">
        <v>0</v>
      </c>
      <c r="E34" s="140"/>
    </row>
    <row r="35" spans="1:5">
      <c r="A35" s="136" t="s">
        <v>58</v>
      </c>
      <c r="B35" s="137"/>
      <c r="C35" s="137"/>
      <c r="D35" s="20">
        <v>0</v>
      </c>
      <c r="E35" s="140"/>
    </row>
    <row r="36" spans="1:5">
      <c r="A36" s="136" t="s">
        <v>58</v>
      </c>
      <c r="B36" s="137"/>
      <c r="C36" s="137"/>
      <c r="D36" s="20">
        <v>0</v>
      </c>
      <c r="E36" s="140"/>
    </row>
    <row r="37" spans="1:5">
      <c r="A37" s="141" t="s">
        <v>64</v>
      </c>
      <c r="B37" s="142"/>
      <c r="C37" s="142"/>
      <c r="D37" s="143"/>
      <c r="E37" s="28">
        <v>0</v>
      </c>
    </row>
    <row r="38" spans="1:5">
      <c r="A38" s="134" t="s">
        <v>65</v>
      </c>
      <c r="B38" s="134"/>
      <c r="C38" s="134"/>
      <c r="D38" s="135"/>
      <c r="E38" s="30">
        <v>0</v>
      </c>
    </row>
  </sheetData>
  <mergeCells count="32">
    <mergeCell ref="A2:E2"/>
    <mergeCell ref="D3:E3"/>
    <mergeCell ref="D4:E4"/>
    <mergeCell ref="D5:E5"/>
    <mergeCell ref="A6:D6"/>
    <mergeCell ref="B12:E12"/>
    <mergeCell ref="A14:E14"/>
    <mergeCell ref="A15:E15"/>
    <mergeCell ref="A23:C23"/>
    <mergeCell ref="A24:C24"/>
    <mergeCell ref="E16:E26"/>
    <mergeCell ref="A25:C25"/>
    <mergeCell ref="A26:C26"/>
    <mergeCell ref="A7:E7"/>
    <mergeCell ref="D8:E8"/>
    <mergeCell ref="D9:E9"/>
    <mergeCell ref="D10:E10"/>
    <mergeCell ref="D11:E11"/>
    <mergeCell ref="A10:A11"/>
    <mergeCell ref="E29:E36"/>
    <mergeCell ref="A35:C35"/>
    <mergeCell ref="A36:C36"/>
    <mergeCell ref="A37:D37"/>
    <mergeCell ref="A27:D27"/>
    <mergeCell ref="A28:D28"/>
    <mergeCell ref="A29:C29"/>
    <mergeCell ref="A38:D38"/>
    <mergeCell ref="A34:C34"/>
    <mergeCell ref="A30:C30"/>
    <mergeCell ref="A31:C31"/>
    <mergeCell ref="A32:C32"/>
    <mergeCell ref="A33:C3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selection activeCell="A3" sqref="A3:C3"/>
    </sheetView>
  </sheetViews>
  <sheetFormatPr defaultColWidth="9.140625" defaultRowHeight="12.75"/>
  <cols>
    <col min="1" max="1" width="9.140625" style="3"/>
    <col min="2" max="2" width="14.85546875" style="3" customWidth="1"/>
    <col min="3" max="7" width="9.140625" style="3"/>
    <col min="8" max="8" width="14.85546875" style="3" customWidth="1"/>
    <col min="9" max="9" width="25.140625" style="3" customWidth="1"/>
    <col min="10" max="10" width="20.140625" style="3" customWidth="1"/>
    <col min="11" max="11" width="12" style="3" customWidth="1"/>
    <col min="12" max="16384" width="9.140625" style="3"/>
  </cols>
  <sheetData>
    <row r="1" spans="1:14" ht="32.25" customHeight="1">
      <c r="A1" s="167" t="s">
        <v>66</v>
      </c>
      <c r="B1" s="167"/>
      <c r="C1" s="167"/>
      <c r="D1" s="167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4">
      <c r="A2" s="170" t="s">
        <v>35</v>
      </c>
      <c r="B2" s="168"/>
      <c r="C2" s="168"/>
      <c r="D2" s="169" t="str">
        <f>[1]Data!B1</f>
        <v/>
      </c>
      <c r="E2" s="168"/>
      <c r="F2" s="168"/>
      <c r="G2" s="168"/>
      <c r="H2" s="168"/>
      <c r="I2" s="168"/>
      <c r="J2" s="5" t="s">
        <v>37</v>
      </c>
      <c r="K2" s="169" t="str">
        <f>[1]Data!B2</f>
        <v/>
      </c>
      <c r="L2" s="168"/>
      <c r="M2" s="168"/>
      <c r="N2" s="168"/>
    </row>
    <row r="3" spans="1:14">
      <c r="A3" s="170" t="s">
        <v>38</v>
      </c>
      <c r="B3" s="168"/>
      <c r="C3" s="168"/>
      <c r="D3" s="169" t="str">
        <f>[1]Data!B3</f>
        <v/>
      </c>
      <c r="E3" s="168"/>
      <c r="F3" s="168"/>
      <c r="G3" s="168"/>
      <c r="H3" s="168"/>
      <c r="I3" s="168"/>
      <c r="J3" s="5" t="s">
        <v>39</v>
      </c>
      <c r="K3" s="169">
        <f>[1]Data!B4</f>
        <v>0</v>
      </c>
      <c r="L3" s="168"/>
      <c r="M3" s="168"/>
      <c r="N3" s="168"/>
    </row>
    <row r="4" spans="1:14">
      <c r="A4" s="170" t="s">
        <v>40</v>
      </c>
      <c r="B4" s="168"/>
      <c r="C4" s="168"/>
      <c r="D4" s="169" t="str">
        <f>[1]Data!B5</f>
        <v/>
      </c>
      <c r="E4" s="168"/>
      <c r="F4" s="168"/>
      <c r="G4" s="168"/>
      <c r="H4" s="168"/>
      <c r="I4" s="168"/>
      <c r="J4" s="5" t="s">
        <v>41</v>
      </c>
      <c r="K4" s="169" t="str">
        <f>[1]Data!B6</f>
        <v/>
      </c>
      <c r="L4" s="168"/>
      <c r="M4" s="168"/>
      <c r="N4" s="168"/>
    </row>
    <row r="5" spans="1:14">
      <c r="A5" s="171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</row>
    <row r="6" spans="1:14" ht="48.75">
      <c r="A6" s="11" t="s">
        <v>67</v>
      </c>
      <c r="B6" s="6" t="s">
        <v>68</v>
      </c>
      <c r="C6" s="7" t="s">
        <v>69</v>
      </c>
      <c r="D6" s="7" t="s">
        <v>70</v>
      </c>
      <c r="E6" s="7" t="s">
        <v>71</v>
      </c>
      <c r="F6" s="7" t="s">
        <v>72</v>
      </c>
      <c r="G6" s="12" t="s">
        <v>73</v>
      </c>
      <c r="H6" s="6" t="s">
        <v>74</v>
      </c>
      <c r="I6" s="6" t="s">
        <v>75</v>
      </c>
      <c r="J6" s="6" t="s">
        <v>76</v>
      </c>
      <c r="K6" s="6" t="s">
        <v>77</v>
      </c>
      <c r="L6" s="6" t="s">
        <v>78</v>
      </c>
      <c r="M6" s="6" t="s">
        <v>79</v>
      </c>
      <c r="N6" s="6" t="s">
        <v>80</v>
      </c>
    </row>
    <row r="7" spans="1:14" ht="76.5">
      <c r="A7" s="13">
        <v>1</v>
      </c>
      <c r="B7" s="14" t="s">
        <v>81</v>
      </c>
      <c r="C7" s="10">
        <v>1</v>
      </c>
      <c r="D7" s="10">
        <v>2</v>
      </c>
      <c r="E7" s="10">
        <v>3</v>
      </c>
      <c r="F7" s="15">
        <f>C7*2*(D7)*E7</f>
        <v>12</v>
      </c>
      <c r="G7" s="16"/>
      <c r="H7" s="14" t="s">
        <v>82</v>
      </c>
      <c r="I7" s="14" t="s">
        <v>83</v>
      </c>
      <c r="J7" s="14" t="s">
        <v>84</v>
      </c>
      <c r="K7" s="10" t="s">
        <v>85</v>
      </c>
      <c r="L7" s="10"/>
      <c r="M7" s="10"/>
      <c r="N7" s="13"/>
    </row>
    <row r="8" spans="1:14">
      <c r="A8" s="13">
        <v>2</v>
      </c>
      <c r="B8" s="14"/>
      <c r="C8" s="10"/>
      <c r="D8" s="10"/>
      <c r="E8" s="10"/>
      <c r="F8" s="15">
        <f>C8*2*(D8)*E8</f>
        <v>0</v>
      </c>
      <c r="G8" s="16"/>
      <c r="H8" s="14"/>
      <c r="I8" s="14"/>
      <c r="J8" s="14"/>
      <c r="K8" s="10"/>
      <c r="L8" s="10"/>
      <c r="M8" s="10"/>
      <c r="N8" s="13"/>
    </row>
    <row r="9" spans="1:14">
      <c r="A9" s="13">
        <v>3</v>
      </c>
      <c r="B9" s="14"/>
      <c r="C9" s="10"/>
      <c r="D9" s="10"/>
      <c r="E9" s="10"/>
      <c r="F9" s="15">
        <f t="shared" ref="F9:F21" si="0">C9*2*(D9)*E9</f>
        <v>0</v>
      </c>
      <c r="G9" s="16"/>
      <c r="H9" s="14"/>
      <c r="I9" s="14"/>
      <c r="J9" s="14"/>
      <c r="K9" s="10"/>
      <c r="L9" s="10"/>
      <c r="M9" s="10"/>
      <c r="N9" s="13"/>
    </row>
    <row r="10" spans="1:14">
      <c r="A10" s="13">
        <v>4</v>
      </c>
      <c r="B10" s="14"/>
      <c r="C10" s="10"/>
      <c r="D10" s="10"/>
      <c r="E10" s="10"/>
      <c r="F10" s="15">
        <f t="shared" si="0"/>
        <v>0</v>
      </c>
      <c r="G10" s="16"/>
      <c r="H10" s="14"/>
      <c r="I10" s="14"/>
      <c r="J10" s="14"/>
      <c r="K10" s="10"/>
      <c r="L10" s="10"/>
      <c r="M10" s="10"/>
      <c r="N10" s="13"/>
    </row>
    <row r="11" spans="1:14">
      <c r="A11" s="13">
        <v>5</v>
      </c>
      <c r="B11" s="14"/>
      <c r="C11" s="10"/>
      <c r="D11" s="10"/>
      <c r="E11" s="10"/>
      <c r="F11" s="15">
        <f t="shared" si="0"/>
        <v>0</v>
      </c>
      <c r="G11" s="16"/>
      <c r="H11" s="14"/>
      <c r="I11" s="14"/>
      <c r="J11" s="14"/>
      <c r="K11" s="10"/>
      <c r="L11" s="10"/>
      <c r="M11" s="10"/>
      <c r="N11" s="13"/>
    </row>
    <row r="12" spans="1:14">
      <c r="A12" s="13">
        <v>6</v>
      </c>
      <c r="B12" s="14"/>
      <c r="C12" s="10"/>
      <c r="D12" s="10"/>
      <c r="E12" s="10"/>
      <c r="F12" s="15">
        <f t="shared" si="0"/>
        <v>0</v>
      </c>
      <c r="G12" s="16"/>
      <c r="H12" s="14"/>
      <c r="I12" s="14"/>
      <c r="J12" s="14"/>
      <c r="K12" s="10"/>
      <c r="L12" s="10"/>
      <c r="M12" s="10"/>
      <c r="N12" s="13"/>
    </row>
    <row r="13" spans="1:14">
      <c r="A13" s="13">
        <v>7</v>
      </c>
      <c r="B13" s="14"/>
      <c r="C13" s="10"/>
      <c r="D13" s="10"/>
      <c r="E13" s="10"/>
      <c r="F13" s="15">
        <f t="shared" si="0"/>
        <v>0</v>
      </c>
      <c r="G13" s="16"/>
      <c r="H13" s="14"/>
      <c r="I13" s="14"/>
      <c r="J13" s="14"/>
      <c r="K13" s="10"/>
      <c r="L13" s="10"/>
      <c r="M13" s="10"/>
      <c r="N13" s="13"/>
    </row>
    <row r="14" spans="1:14">
      <c r="A14" s="13">
        <v>8</v>
      </c>
      <c r="B14" s="14"/>
      <c r="C14" s="10"/>
      <c r="D14" s="10"/>
      <c r="E14" s="10"/>
      <c r="F14" s="15">
        <f t="shared" si="0"/>
        <v>0</v>
      </c>
      <c r="G14" s="16"/>
      <c r="H14" s="14"/>
      <c r="I14" s="14"/>
      <c r="J14" s="14"/>
      <c r="K14" s="10"/>
      <c r="L14" s="10"/>
      <c r="M14" s="10"/>
      <c r="N14" s="13"/>
    </row>
    <row r="15" spans="1:14">
      <c r="A15" s="13">
        <v>9</v>
      </c>
      <c r="B15" s="14"/>
      <c r="C15" s="10"/>
      <c r="D15" s="10"/>
      <c r="E15" s="10"/>
      <c r="F15" s="15">
        <f t="shared" si="0"/>
        <v>0</v>
      </c>
      <c r="G15" s="16"/>
      <c r="H15" s="14"/>
      <c r="I15" s="14"/>
      <c r="J15" s="14"/>
      <c r="K15" s="10"/>
      <c r="L15" s="10"/>
      <c r="M15" s="10"/>
      <c r="N15" s="13"/>
    </row>
    <row r="16" spans="1:14">
      <c r="A16" s="13">
        <v>10</v>
      </c>
      <c r="B16" s="14"/>
      <c r="C16" s="10"/>
      <c r="D16" s="10"/>
      <c r="E16" s="10"/>
      <c r="F16" s="15">
        <f t="shared" si="0"/>
        <v>0</v>
      </c>
      <c r="G16" s="16"/>
      <c r="H16" s="14"/>
      <c r="I16" s="14"/>
      <c r="J16" s="14"/>
      <c r="K16" s="10"/>
      <c r="L16" s="10"/>
      <c r="M16" s="10"/>
      <c r="N16" s="13"/>
    </row>
    <row r="17" spans="1:14">
      <c r="A17" s="13">
        <v>11</v>
      </c>
      <c r="B17" s="14"/>
      <c r="C17" s="10"/>
      <c r="D17" s="10"/>
      <c r="E17" s="10"/>
      <c r="F17" s="15">
        <f t="shared" si="0"/>
        <v>0</v>
      </c>
      <c r="G17" s="16"/>
      <c r="H17" s="14"/>
      <c r="I17" s="14"/>
      <c r="J17" s="14"/>
      <c r="K17" s="10"/>
      <c r="L17" s="10"/>
      <c r="M17" s="10"/>
      <c r="N17" s="13"/>
    </row>
    <row r="18" spans="1:14">
      <c r="A18" s="13">
        <v>12</v>
      </c>
      <c r="B18" s="14"/>
      <c r="C18" s="10"/>
      <c r="D18" s="10"/>
      <c r="E18" s="10"/>
      <c r="F18" s="15">
        <f t="shared" si="0"/>
        <v>0</v>
      </c>
      <c r="G18" s="16"/>
      <c r="H18" s="14"/>
      <c r="I18" s="14"/>
      <c r="J18" s="14"/>
      <c r="K18" s="10"/>
      <c r="L18" s="10"/>
      <c r="M18" s="10"/>
      <c r="N18" s="13"/>
    </row>
    <row r="19" spans="1:14">
      <c r="A19" s="13">
        <v>13</v>
      </c>
      <c r="B19" s="14"/>
      <c r="C19" s="10"/>
      <c r="D19" s="10"/>
      <c r="E19" s="10"/>
      <c r="F19" s="15">
        <f t="shared" si="0"/>
        <v>0</v>
      </c>
      <c r="G19" s="16"/>
      <c r="H19" s="14"/>
      <c r="I19" s="14"/>
      <c r="J19" s="14"/>
      <c r="K19" s="10"/>
      <c r="L19" s="10"/>
      <c r="M19" s="10"/>
      <c r="N19" s="13"/>
    </row>
    <row r="20" spans="1:14">
      <c r="A20" s="13">
        <v>14</v>
      </c>
      <c r="B20" s="14"/>
      <c r="C20" s="10"/>
      <c r="D20" s="10"/>
      <c r="E20" s="10"/>
      <c r="F20" s="15">
        <f t="shared" si="0"/>
        <v>0</v>
      </c>
      <c r="G20" s="16"/>
      <c r="H20" s="14"/>
      <c r="I20" s="14"/>
      <c r="J20" s="14"/>
      <c r="K20" s="10"/>
      <c r="L20" s="10"/>
      <c r="M20" s="10"/>
      <c r="N20" s="13"/>
    </row>
    <row r="21" spans="1:14">
      <c r="A21" s="13">
        <v>15</v>
      </c>
      <c r="B21" s="14"/>
      <c r="C21" s="10"/>
      <c r="D21" s="10"/>
      <c r="E21" s="10"/>
      <c r="F21" s="15">
        <f t="shared" si="0"/>
        <v>0</v>
      </c>
      <c r="G21" s="16"/>
      <c r="H21" s="14"/>
      <c r="I21" s="14"/>
      <c r="J21" s="14"/>
      <c r="K21" s="10"/>
      <c r="L21" s="10"/>
      <c r="M21" s="10"/>
      <c r="N21" s="13"/>
    </row>
  </sheetData>
  <mergeCells count="11">
    <mergeCell ref="A4:C4"/>
    <mergeCell ref="D4:I4"/>
    <mergeCell ref="K4:N4"/>
    <mergeCell ref="A5:N5"/>
    <mergeCell ref="A1:N1"/>
    <mergeCell ref="A2:C2"/>
    <mergeCell ref="D2:I2"/>
    <mergeCell ref="K2:N2"/>
    <mergeCell ref="A3:C3"/>
    <mergeCell ref="D3:I3"/>
    <mergeCell ref="K3:N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F9" sqref="F9"/>
    </sheetView>
  </sheetViews>
  <sheetFormatPr defaultColWidth="9.140625" defaultRowHeight="12.75"/>
  <cols>
    <col min="1" max="1" width="18.42578125" style="3" customWidth="1"/>
    <col min="2" max="16384" width="9.140625" style="3"/>
  </cols>
  <sheetData>
    <row r="1" spans="1:9" ht="15.75">
      <c r="A1" s="176" t="s">
        <v>86</v>
      </c>
      <c r="B1" s="167"/>
      <c r="C1" s="167"/>
      <c r="D1" s="167"/>
      <c r="E1" s="167"/>
      <c r="F1" s="167"/>
      <c r="G1" s="150"/>
      <c r="H1" s="150"/>
      <c r="I1" s="150"/>
    </row>
    <row r="2" spans="1:9">
      <c r="A2" s="173" t="s">
        <v>35</v>
      </c>
      <c r="B2" s="168"/>
      <c r="C2" s="169" t="str">
        <f>[1]Data!B1</f>
        <v/>
      </c>
      <c r="D2" s="168"/>
      <c r="E2" s="5" t="s">
        <v>37</v>
      </c>
      <c r="F2" s="169" t="str">
        <f>[1]Data!B2</f>
        <v/>
      </c>
      <c r="G2" s="168"/>
      <c r="H2" s="168"/>
      <c r="I2" s="168"/>
    </row>
    <row r="3" spans="1:9">
      <c r="A3" s="173" t="s">
        <v>38</v>
      </c>
      <c r="B3" s="168"/>
      <c r="C3" s="169" t="str">
        <f>[1]Data!B3</f>
        <v/>
      </c>
      <c r="D3" s="168"/>
      <c r="E3" s="5" t="s">
        <v>39</v>
      </c>
      <c r="F3" s="169">
        <f>[1]Data!B4</f>
        <v>0</v>
      </c>
      <c r="G3" s="168"/>
      <c r="H3" s="168"/>
      <c r="I3" s="168"/>
    </row>
    <row r="4" spans="1:9">
      <c r="A4" s="173" t="s">
        <v>40</v>
      </c>
      <c r="B4" s="168"/>
      <c r="C4" s="169" t="str">
        <f>[1]Data!B5</f>
        <v/>
      </c>
      <c r="D4" s="168"/>
      <c r="E4" s="5" t="s">
        <v>41</v>
      </c>
      <c r="F4" s="169" t="str">
        <f>[1]Data!B6</f>
        <v/>
      </c>
      <c r="G4" s="168"/>
      <c r="H4" s="168"/>
      <c r="I4" s="168"/>
    </row>
    <row r="5" spans="1:9">
      <c r="A5" s="174"/>
      <c r="B5" s="175"/>
      <c r="C5" s="175"/>
      <c r="D5" s="175"/>
      <c r="E5" s="175"/>
      <c r="F5" s="175"/>
      <c r="G5" s="168"/>
      <c r="H5" s="168"/>
      <c r="I5" s="168"/>
    </row>
    <row r="6" spans="1:9" ht="36">
      <c r="A6" s="6" t="s">
        <v>67</v>
      </c>
      <c r="B6" s="6" t="s">
        <v>87</v>
      </c>
      <c r="C6" s="6" t="s">
        <v>88</v>
      </c>
      <c r="D6" s="6" t="s">
        <v>89</v>
      </c>
      <c r="E6" s="6" t="s">
        <v>77</v>
      </c>
      <c r="F6" s="7" t="s">
        <v>72</v>
      </c>
      <c r="G6" s="6" t="s">
        <v>79</v>
      </c>
      <c r="H6" s="6" t="s">
        <v>80</v>
      </c>
      <c r="I6" s="6" t="s">
        <v>90</v>
      </c>
    </row>
    <row r="7" spans="1:9" ht="63.75">
      <c r="A7" s="8">
        <v>1</v>
      </c>
      <c r="B7" s="9" t="s">
        <v>91</v>
      </c>
      <c r="C7" s="9" t="s">
        <v>92</v>
      </c>
      <c r="D7" s="9" t="s">
        <v>93</v>
      </c>
      <c r="E7" s="10" t="s">
        <v>94</v>
      </c>
      <c r="F7" s="9"/>
      <c r="G7" s="10"/>
      <c r="H7" s="10"/>
      <c r="I7" s="10"/>
    </row>
    <row r="8" spans="1:9">
      <c r="A8" s="8">
        <v>2</v>
      </c>
      <c r="B8" s="9"/>
      <c r="C8" s="9"/>
      <c r="D8" s="9"/>
      <c r="E8" s="10"/>
      <c r="F8" s="9"/>
      <c r="G8" s="10"/>
      <c r="H8" s="10"/>
      <c r="I8" s="10"/>
    </row>
    <row r="9" spans="1:9">
      <c r="A9" s="8">
        <v>3</v>
      </c>
      <c r="B9" s="9"/>
      <c r="C9" s="9"/>
      <c r="D9" s="9"/>
      <c r="E9" s="10"/>
      <c r="F9" s="9"/>
      <c r="G9" s="10"/>
      <c r="H9" s="10"/>
      <c r="I9" s="10"/>
    </row>
    <row r="10" spans="1:9">
      <c r="A10" s="8">
        <v>4</v>
      </c>
      <c r="B10" s="9"/>
      <c r="C10" s="9"/>
      <c r="D10" s="9"/>
      <c r="E10" s="10"/>
      <c r="F10" s="9"/>
      <c r="G10" s="10"/>
      <c r="H10" s="10"/>
      <c r="I10" s="10"/>
    </row>
    <row r="11" spans="1:9">
      <c r="A11" s="8">
        <v>5</v>
      </c>
      <c r="B11" s="9"/>
      <c r="C11" s="9"/>
      <c r="D11" s="9"/>
      <c r="E11" s="10"/>
      <c r="F11" s="9"/>
      <c r="G11" s="10"/>
      <c r="H11" s="10"/>
      <c r="I11" s="10"/>
    </row>
    <row r="12" spans="1:9">
      <c r="A12" s="8">
        <v>6</v>
      </c>
      <c r="B12" s="9"/>
      <c r="C12" s="9"/>
      <c r="D12" s="9"/>
      <c r="E12" s="10"/>
      <c r="F12" s="9"/>
      <c r="G12" s="10"/>
      <c r="H12" s="10"/>
      <c r="I12" s="10"/>
    </row>
    <row r="13" spans="1:9">
      <c r="A13" s="8">
        <v>7</v>
      </c>
      <c r="B13" s="9"/>
      <c r="C13" s="9"/>
      <c r="D13" s="9"/>
      <c r="E13" s="10"/>
      <c r="F13" s="9"/>
      <c r="G13" s="10"/>
      <c r="H13" s="10"/>
      <c r="I13" s="10"/>
    </row>
    <row r="14" spans="1:9">
      <c r="A14" s="8">
        <v>8</v>
      </c>
      <c r="B14" s="9"/>
      <c r="C14" s="9"/>
      <c r="D14" s="9"/>
      <c r="E14" s="10"/>
      <c r="F14" s="9"/>
      <c r="G14" s="10"/>
      <c r="H14" s="10"/>
      <c r="I14" s="10"/>
    </row>
    <row r="15" spans="1:9">
      <c r="A15" s="8">
        <v>9</v>
      </c>
      <c r="B15" s="9"/>
      <c r="C15" s="9"/>
      <c r="D15" s="9"/>
      <c r="E15" s="10"/>
      <c r="F15" s="9"/>
      <c r="G15" s="10"/>
      <c r="H15" s="10"/>
      <c r="I15" s="10"/>
    </row>
    <row r="16" spans="1:9">
      <c r="A16" s="8">
        <v>10</v>
      </c>
      <c r="B16" s="9"/>
      <c r="C16" s="9"/>
      <c r="D16" s="9"/>
      <c r="E16" s="10"/>
      <c r="F16" s="9"/>
      <c r="G16" s="10"/>
      <c r="H16" s="10"/>
      <c r="I16" s="10"/>
    </row>
    <row r="17" spans="1:9">
      <c r="A17" s="8">
        <v>11</v>
      </c>
      <c r="B17" s="9"/>
      <c r="C17" s="9"/>
      <c r="D17" s="9"/>
      <c r="E17" s="10"/>
      <c r="F17" s="9"/>
      <c r="G17" s="10"/>
      <c r="H17" s="10"/>
      <c r="I17" s="10"/>
    </row>
    <row r="18" spans="1:9">
      <c r="A18" s="8">
        <v>12</v>
      </c>
      <c r="B18" s="9"/>
      <c r="C18" s="9"/>
      <c r="D18" s="9"/>
      <c r="E18" s="10"/>
      <c r="F18" s="9"/>
      <c r="G18" s="10"/>
      <c r="H18" s="10"/>
      <c r="I18" s="10"/>
    </row>
    <row r="19" spans="1:9">
      <c r="A19" s="8">
        <v>13</v>
      </c>
      <c r="B19" s="9"/>
      <c r="C19" s="9"/>
      <c r="D19" s="9"/>
      <c r="E19" s="10"/>
      <c r="F19" s="9"/>
      <c r="G19" s="10"/>
      <c r="H19" s="10"/>
      <c r="I19" s="10"/>
    </row>
    <row r="20" spans="1:9">
      <c r="A20" s="8">
        <v>14</v>
      </c>
      <c r="B20" s="9"/>
      <c r="C20" s="9"/>
      <c r="D20" s="9"/>
      <c r="E20" s="10"/>
      <c r="F20" s="9"/>
      <c r="G20" s="10"/>
      <c r="H20" s="10"/>
      <c r="I20" s="10"/>
    </row>
    <row r="21" spans="1:9">
      <c r="A21" s="8">
        <v>15</v>
      </c>
      <c r="B21" s="9"/>
      <c r="C21" s="9"/>
      <c r="D21" s="9"/>
      <c r="E21" s="10"/>
      <c r="F21" s="9"/>
      <c r="G21" s="10"/>
      <c r="H21" s="10"/>
      <c r="I21" s="10"/>
    </row>
    <row r="22" spans="1:9">
      <c r="A22" s="8"/>
      <c r="B22" s="9"/>
      <c r="C22" s="9"/>
      <c r="D22" s="9"/>
      <c r="E22" s="10"/>
      <c r="F22" s="9"/>
      <c r="G22" s="10"/>
      <c r="H22" s="10"/>
      <c r="I22" s="10"/>
    </row>
  </sheetData>
  <mergeCells count="11">
    <mergeCell ref="A4:B4"/>
    <mergeCell ref="C4:D4"/>
    <mergeCell ref="F4:I4"/>
    <mergeCell ref="A5:I5"/>
    <mergeCell ref="A1:I1"/>
    <mergeCell ref="A2:B2"/>
    <mergeCell ref="C2:D2"/>
    <mergeCell ref="F2:I2"/>
    <mergeCell ref="A3:B3"/>
    <mergeCell ref="C3:D3"/>
    <mergeCell ref="F3:I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ColWidth="9" defaultRowHeight="12.75"/>
  <sheetData>
    <row r="1" spans="1:1" ht="15">
      <c r="A1" s="1" t="s">
        <v>95</v>
      </c>
    </row>
    <row r="2" spans="1:1">
      <c r="A2" t="s">
        <v>96</v>
      </c>
    </row>
    <row r="3" spans="1:1">
      <c r="A3" s="2" t="s">
        <v>97</v>
      </c>
    </row>
  </sheetData>
  <phoneticPr fontId="7" type="noConversion"/>
  <hyperlinks>
    <hyperlink ref="A3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项目</vt:lpstr>
      <vt:lpstr>周期表</vt:lpstr>
      <vt:lpstr>预算</vt:lpstr>
      <vt:lpstr>风险登记</vt:lpstr>
      <vt:lpstr>问题日志</vt:lpstr>
      <vt:lpstr>周期表!Print_Area</vt:lpstr>
    </vt:vector>
  </TitlesOfParts>
  <Company>damytech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RyuCholJin</dc:creator>
  <dc:description>(c) 2006-2012 Vertex42 LLC. All Rights Reserved.</dc:description>
  <cp:lastModifiedBy>Admin</cp:lastModifiedBy>
  <cp:lastPrinted>2012-04-23T20:21:00Z</cp:lastPrinted>
  <dcterms:created xsi:type="dcterms:W3CDTF">2006-11-11T15:27:00Z</dcterms:created>
  <dcterms:modified xsi:type="dcterms:W3CDTF">2015-04-14T02:14:25Z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2006-2012 Vertex42 LLC</vt:lpwstr>
  </property>
  <property fmtid="{D5CDD505-2E9C-101B-9397-08002B2CF9AE}" pid="3" name="Version">
    <vt:lpwstr>1.7.3</vt:lpwstr>
  </property>
  <property fmtid="{D5CDD505-2E9C-101B-9397-08002B2CF9AE}" pid="4" name="KSOProductBuildVer">
    <vt:lpwstr>2052-9.1.0.4885</vt:lpwstr>
  </property>
</Properties>
</file>